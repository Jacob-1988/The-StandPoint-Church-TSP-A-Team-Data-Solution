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TA_Responses" sheetId="1" r:id="rId5"/>
    <sheet state="visible" name="Feedback_Responses" sheetId="2" r:id="rId6"/>
    <sheet state="visible" name="Assignment_Log" sheetId="3" r:id="rId7"/>
    <sheet state="visible" name="A-Team_Members" sheetId="4" r:id="rId8"/>
    <sheet state="visible" name="Dashboard_Metrics" sheetId="5" r:id="rId9"/>
    <sheet state="visible" name="FTA Source Analysis Table" sheetId="6" r:id="rId10"/>
    <sheet state="visible" name="Dashboard_Metrics(Metric formul" sheetId="7" r:id="rId11"/>
    <sheet state="visible" name="Data_Quality" sheetId="8" r:id="rId12"/>
  </sheets>
  <definedNames/>
  <calcPr/>
</workbook>
</file>

<file path=xl/sharedStrings.xml><?xml version="1.0" encoding="utf-8"?>
<sst xmlns="http://schemas.openxmlformats.org/spreadsheetml/2006/main" count="840" uniqueCount="357">
  <si>
    <t>Timestamp</t>
  </si>
  <si>
    <t>Email Address</t>
  </si>
  <si>
    <t>Full Name</t>
  </si>
  <si>
    <t>Phone Number</t>
  </si>
  <si>
    <t>Gender</t>
  </si>
  <si>
    <t>Home Address</t>
  </si>
  <si>
    <t>Hw was overall service experience?</t>
  </si>
  <si>
    <t>How will you rate your WORSHIP experience?</t>
  </si>
  <si>
    <t>How will you rate your WORD experience?</t>
  </si>
  <si>
    <t>Any general feedback for us?</t>
  </si>
  <si>
    <t>Wo invited you to TS?</t>
  </si>
  <si>
    <t xml:space="preserve">Would you like to be a member of TSP? </t>
  </si>
  <si>
    <t>I consent that my data provided in this form can be used  by the Standpoint Church as deemed appropriate</t>
  </si>
  <si>
    <t>Select the most convenient date for your one-on-one meeting with Pastor Phil</t>
  </si>
  <si>
    <t>FTA_ID</t>
  </si>
  <si>
    <t>Response_Year</t>
  </si>
  <si>
    <t>Response_Month</t>
  </si>
  <si>
    <t>joshuaamanyene@gmail.com</t>
  </si>
  <si>
    <t>Amanyene Joshua</t>
  </si>
  <si>
    <t>07065656041</t>
  </si>
  <si>
    <t>Female</t>
  </si>
  <si>
    <t xml:space="preserve">11 Gregory Effiong off ikot Ansa. </t>
  </si>
  <si>
    <t xml:space="preserve">It was very impactful </t>
  </si>
  <si>
    <t>A friend</t>
  </si>
  <si>
    <t>Maybe later</t>
  </si>
  <si>
    <t>I agree</t>
  </si>
  <si>
    <t>Monday, February 2</t>
  </si>
  <si>
    <t>israelisaiah100@gmail.com</t>
  </si>
  <si>
    <t>Israel Etim Isaiah</t>
  </si>
  <si>
    <t>Male</t>
  </si>
  <si>
    <t>Abak</t>
  </si>
  <si>
    <t>Excellent</t>
  </si>
  <si>
    <t>seyivictoria8@gmail.com</t>
  </si>
  <si>
    <t>victoria Adigun</t>
  </si>
  <si>
    <t>08131046559</t>
  </si>
  <si>
    <t>Osongama estate,uyo</t>
  </si>
  <si>
    <t>Colleague</t>
  </si>
  <si>
    <t>Sunday, February 1</t>
  </si>
  <si>
    <t>iyohounyime@gmail.co</t>
  </si>
  <si>
    <t>UNYIME VICTOR IYOHO</t>
  </si>
  <si>
    <t>08065856125</t>
  </si>
  <si>
    <t>22 navy road calabar</t>
  </si>
  <si>
    <t>Not at all</t>
  </si>
  <si>
    <t>jamesokovu422@gmail.com</t>
  </si>
  <si>
    <t xml:space="preserve">Okovu, James Ushuasung </t>
  </si>
  <si>
    <t>+2349035355176</t>
  </si>
  <si>
    <t xml:space="preserve">Basang, Obanliku </t>
  </si>
  <si>
    <t>Not yet</t>
  </si>
  <si>
    <t>Stellaakpan2000@gmail.com</t>
  </si>
  <si>
    <t>Stella Akpan</t>
  </si>
  <si>
    <t>09033916736</t>
  </si>
  <si>
    <t xml:space="preserve">Nmecha street </t>
  </si>
  <si>
    <t>Nil</t>
  </si>
  <si>
    <t>Tuesday, February 3</t>
  </si>
  <si>
    <t>emmanuelajie59@gmail.com</t>
  </si>
  <si>
    <t>Emmanuel Ajie</t>
  </si>
  <si>
    <t>08148565855</t>
  </si>
  <si>
    <t xml:space="preserve">Asi abang street </t>
  </si>
  <si>
    <t xml:space="preserve">It was great and amazing </t>
  </si>
  <si>
    <t>nsimaemmanuel1999@gmail.com</t>
  </si>
  <si>
    <t xml:space="preserve">Timothy Emmanuel </t>
  </si>
  <si>
    <t>09064303085</t>
  </si>
  <si>
    <t>8, Ajayi Street, Ketu, Lagos.</t>
  </si>
  <si>
    <t>No</t>
  </si>
  <si>
    <t>Oraclfrancis12@gmail.com</t>
  </si>
  <si>
    <t xml:space="preserve">Francis Ekanem Francis </t>
  </si>
  <si>
    <t xml:space="preserve">Nwaniba </t>
  </si>
  <si>
    <t xml:space="preserve">Very good </t>
  </si>
  <si>
    <t>A worker in the church</t>
  </si>
  <si>
    <t>clarapatience68@gmail.com</t>
  </si>
  <si>
    <t>SUNDAY CLARA IME</t>
  </si>
  <si>
    <t>+2348077175611</t>
  </si>
  <si>
    <t>302  Artillery Regiment barracks, Onitsha</t>
  </si>
  <si>
    <t>Church member</t>
  </si>
  <si>
    <t>Yes</t>
  </si>
  <si>
    <t>Wednesday, February 4</t>
  </si>
  <si>
    <t>felicitandifon@gmail.com</t>
  </si>
  <si>
    <t xml:space="preserve">Felicita Okon Ndifon </t>
  </si>
  <si>
    <t xml:space="preserve">10 ikot ansa street calabar </t>
  </si>
  <si>
    <t>ajiejosephsimon@gmail.com</t>
  </si>
  <si>
    <t>Joseph Simon ajie</t>
  </si>
  <si>
    <t>09067506636</t>
  </si>
  <si>
    <t>#no2 asi abang street</t>
  </si>
  <si>
    <t>akpangodswillprof3@gmail.com</t>
  </si>
  <si>
    <t xml:space="preserve">Akpan Godswill Archibong </t>
  </si>
  <si>
    <t>07026820431</t>
  </si>
  <si>
    <t xml:space="preserve">7 etok ekpat street, uyo, Akwa ibom state </t>
  </si>
  <si>
    <t xml:space="preserve">All things were excellent </t>
  </si>
  <si>
    <t>honestyakpanim@gmail.com</t>
  </si>
  <si>
    <t xml:space="preserve">Honesty Etim Akpanim </t>
  </si>
  <si>
    <t>09167082308</t>
  </si>
  <si>
    <t xml:space="preserve">Use offot nwaniba road </t>
  </si>
  <si>
    <t>Innocent16082006@gmail.com</t>
  </si>
  <si>
    <t xml:space="preserve">Okereke Innocent </t>
  </si>
  <si>
    <t>09129711171</t>
  </si>
  <si>
    <t>Ebonyi state</t>
  </si>
  <si>
    <t>estherbaseey209@gmail.com</t>
  </si>
  <si>
    <t xml:space="preserve">Bassey Courage Ike </t>
  </si>
  <si>
    <t xml:space="preserve">No 4 Ikot Abasi Obori </t>
  </si>
  <si>
    <t xml:space="preserve">No </t>
  </si>
  <si>
    <t>nteteasuquo@gmail.com</t>
  </si>
  <si>
    <t xml:space="preserve">Ntete Ita Asuquo </t>
  </si>
  <si>
    <t>08132105266</t>
  </si>
  <si>
    <t xml:space="preserve">No 2b Ikot Esu diamond hill Calabar </t>
  </si>
  <si>
    <t>cliffordetuk@gmail.com</t>
  </si>
  <si>
    <t xml:space="preserve">Clifford </t>
  </si>
  <si>
    <t>09095043405</t>
  </si>
  <si>
    <t xml:space="preserve">Elikpokwudu, Rupkokwu </t>
  </si>
  <si>
    <t>Other</t>
  </si>
  <si>
    <t>workkiro05@gmail.com</t>
  </si>
  <si>
    <t>Stephen Inah</t>
  </si>
  <si>
    <t>09015038171</t>
  </si>
  <si>
    <t>Ghjk</t>
  </si>
  <si>
    <t>samuelogbade@gmail.com</t>
  </si>
  <si>
    <t>Samuel nduka onuegbu</t>
  </si>
  <si>
    <t>07064334327</t>
  </si>
  <si>
    <t>72 essien town</t>
  </si>
  <si>
    <t>aquamanzy677@gmail.com</t>
  </si>
  <si>
    <t xml:space="preserve">Effiong, Bassey Bassey </t>
  </si>
  <si>
    <t>08137834265</t>
  </si>
  <si>
    <t>Mega Hilton, Aluu</t>
  </si>
  <si>
    <t>inipatience60@gmail.com</t>
  </si>
  <si>
    <t>Patience Asuquo</t>
  </si>
  <si>
    <t>+234-7044070453</t>
  </si>
  <si>
    <t xml:space="preserve">Mcc road </t>
  </si>
  <si>
    <t xml:space="preserve">Best </t>
  </si>
  <si>
    <t>isaiahisrael@gmail com</t>
  </si>
  <si>
    <t xml:space="preserve">Israel Isaiah </t>
  </si>
  <si>
    <t>09125988364</t>
  </si>
  <si>
    <t>kamadaniel978@gmail.com</t>
  </si>
  <si>
    <t xml:space="preserve">DANIEL LEDOGO KAMA </t>
  </si>
  <si>
    <t>07035328175</t>
  </si>
  <si>
    <t xml:space="preserve">170 old refinery old, Elelenwo portharcourt </t>
  </si>
  <si>
    <t xml:space="preserve">Please improve on your services </t>
  </si>
  <si>
    <t>betabasiudo@gmail.com</t>
  </si>
  <si>
    <t>Bet-Abasi Monday Udo</t>
  </si>
  <si>
    <t>07033550180</t>
  </si>
  <si>
    <t>Ikot Effiok St Useofot</t>
  </si>
  <si>
    <t>blessingakpanokon25@gmail.com</t>
  </si>
  <si>
    <t xml:space="preserve">Blessing okon Akpan </t>
  </si>
  <si>
    <t>08160289390</t>
  </si>
  <si>
    <t xml:space="preserve">No 28 idak edat street uyo 
</t>
  </si>
  <si>
    <t xml:space="preserve">We should keep pushing God's work forward </t>
  </si>
  <si>
    <t>elizabethabimbola200@gmail.com</t>
  </si>
  <si>
    <t xml:space="preserve">Elizabeth Gabriel Abimbola </t>
  </si>
  <si>
    <t>09115314204</t>
  </si>
  <si>
    <t xml:space="preserve">Akpasak estate </t>
  </si>
  <si>
    <t>test01@email.com</t>
  </si>
  <si>
    <t>Sylva Donatus</t>
  </si>
  <si>
    <t>+2348067676843</t>
  </si>
  <si>
    <t xml:space="preserve">4 Controller street </t>
  </si>
  <si>
    <t>I will like to visit again</t>
  </si>
  <si>
    <t>test02@email.com</t>
  </si>
  <si>
    <t>Rejoice Samuel</t>
  </si>
  <si>
    <t>07045624536</t>
  </si>
  <si>
    <t>4 Union Road</t>
  </si>
  <si>
    <t>A good time in His presence</t>
  </si>
  <si>
    <t>Self(social Media)</t>
  </si>
  <si>
    <t>test03@email.com</t>
  </si>
  <si>
    <t>Larry Galadim</t>
  </si>
  <si>
    <t>09032225556</t>
  </si>
  <si>
    <t>willington Way</t>
  </si>
  <si>
    <t>Sweet service</t>
  </si>
  <si>
    <t>Belammy Joel</t>
  </si>
  <si>
    <t>+234-456-678-999</t>
  </si>
  <si>
    <t>6 Office Road, Uyo</t>
  </si>
  <si>
    <t>Joy in Praising God</t>
  </si>
  <si>
    <t>test05@email.com</t>
  </si>
  <si>
    <t>Caroline James</t>
  </si>
  <si>
    <t>09078786512</t>
  </si>
  <si>
    <t>55 Babcck Avenue</t>
  </si>
  <si>
    <t>I enjoyed my stay</t>
  </si>
  <si>
    <t>Self(Billboard)</t>
  </si>
  <si>
    <t>test06@email.com</t>
  </si>
  <si>
    <t>Itoro Nkereuwem</t>
  </si>
  <si>
    <t>07044445577</t>
  </si>
  <si>
    <t>Oron Road by Crunches</t>
  </si>
  <si>
    <t>I felt the presence of God</t>
  </si>
  <si>
    <t>test07@email.com</t>
  </si>
  <si>
    <t>Angelina Johnathan</t>
  </si>
  <si>
    <t>08045327711</t>
  </si>
  <si>
    <t xml:space="preserve">6 Atamunu by Jebs street </t>
  </si>
  <si>
    <t>I felt the power of Jesus</t>
  </si>
  <si>
    <t>test08@email.com</t>
  </si>
  <si>
    <t>Ebong John</t>
  </si>
  <si>
    <t>09063333330</t>
  </si>
  <si>
    <t>Federal Housing, Plot 6F</t>
  </si>
  <si>
    <t>Great service</t>
  </si>
  <si>
    <t>test09@email.com</t>
  </si>
  <si>
    <t>Young Philips</t>
  </si>
  <si>
    <t>09045432110</t>
  </si>
  <si>
    <t>Gateway road, Onitsha</t>
  </si>
  <si>
    <t>The reception was great</t>
  </si>
  <si>
    <t>test10@email.com</t>
  </si>
  <si>
    <t>Eunice Everest</t>
  </si>
  <si>
    <t>08067676780</t>
  </si>
  <si>
    <t>Assembly Quarters</t>
  </si>
  <si>
    <t>The sound system is very good</t>
  </si>
  <si>
    <t>Spouse</t>
  </si>
  <si>
    <t>nnamdi@datafiedtech.com</t>
  </si>
  <si>
    <t>Austin Wealth</t>
  </si>
  <si>
    <t>+2347013623317</t>
  </si>
  <si>
    <t>5 B14 Street Citec Estate Mbora</t>
  </si>
  <si>
    <t>A-Team Member</t>
  </si>
  <si>
    <t>FTA Call</t>
  </si>
  <si>
    <t>Called</t>
  </si>
  <si>
    <t>Feedback</t>
  </si>
  <si>
    <t>M&amp;G confirmation Date_on_1st_call</t>
  </si>
  <si>
    <t>General feedback_on_1st_call</t>
  </si>
  <si>
    <t>Choose the date you met your FTA</t>
  </si>
  <si>
    <t>General feedback_on_2nd_call</t>
  </si>
  <si>
    <t>General feedback_on_3rd_call</t>
  </si>
  <si>
    <t>Date_on_M &amp; G_confirmation_call</t>
  </si>
  <si>
    <t>Feedback_on_M&amp;G_confirmation_call</t>
  </si>
  <si>
    <t>S676843</t>
  </si>
  <si>
    <t>Sandy Rose</t>
  </si>
  <si>
    <t>1st call (Actual contact)</t>
  </si>
  <si>
    <t>Out of town</t>
  </si>
  <si>
    <t>FTA appreciated the call and promised to visit the church again.</t>
  </si>
  <si>
    <t>R624536</t>
  </si>
  <si>
    <t>Ama Joshua</t>
  </si>
  <si>
    <t>Yes, sent TSP communique</t>
  </si>
  <si>
    <t>Prayer request</t>
  </si>
  <si>
    <t>Call to FTA was successful, she promised that she may come back</t>
  </si>
  <si>
    <t>L225556</t>
  </si>
  <si>
    <t>Henry Jacob</t>
  </si>
  <si>
    <t>Would love to join</t>
  </si>
  <si>
    <t>Tuesday. February 3</t>
  </si>
  <si>
    <t>FTA Admitted that it was a nice time in God's presence</t>
  </si>
  <si>
    <t>C786512</t>
  </si>
  <si>
    <t>Emmanuel Ita</t>
  </si>
  <si>
    <t>Hope to visit again</t>
  </si>
  <si>
    <t>FTA confessed she enjoyed the service</t>
  </si>
  <si>
    <t>I445577</t>
  </si>
  <si>
    <t>Tombere Regina</t>
  </si>
  <si>
    <t>FTA received the call with Joy. She admitted feeling the presence of God</t>
  </si>
  <si>
    <t>A327711</t>
  </si>
  <si>
    <t>Bassey Esther</t>
  </si>
  <si>
    <t>Just visiting</t>
  </si>
  <si>
    <t>FTA appreciated the call. She promised to return</t>
  </si>
  <si>
    <t>E333330</t>
  </si>
  <si>
    <t>Elijah Effiong</t>
  </si>
  <si>
    <t>Feedback from FTA about service was generally impressive.</t>
  </si>
  <si>
    <t>FTA_Name</t>
  </si>
  <si>
    <t>FTA_Email</t>
  </si>
  <si>
    <t>Assigned_Member_ID</t>
  </si>
  <si>
    <t>Assigned_Member_Name</t>
  </si>
  <si>
    <t>Assigned_Member_Email</t>
  </si>
  <si>
    <t>Status</t>
  </si>
  <si>
    <t>Note</t>
  </si>
  <si>
    <t>Response_Time_Hours</t>
  </si>
  <si>
    <t>U856125</t>
  </si>
  <si>
    <t>B004</t>
  </si>
  <si>
    <t>emmanuelita93@gmail.com</t>
  </si>
  <si>
    <t>Assigned</t>
  </si>
  <si>
    <t>O355176</t>
  </si>
  <si>
    <t>B005</t>
  </si>
  <si>
    <t>tomberereginajoseph@gmail.com</t>
  </si>
  <si>
    <t>S916736</t>
  </si>
  <si>
    <t>B006</t>
  </si>
  <si>
    <t>rossycluster@gmail.com</t>
  </si>
  <si>
    <t>E565855</t>
  </si>
  <si>
    <t>B007</t>
  </si>
  <si>
    <t>estybl95@gmail.com</t>
  </si>
  <si>
    <t>T303085</t>
  </si>
  <si>
    <t>B008</t>
  </si>
  <si>
    <t>elijaheffiongsam@gmail.com</t>
  </si>
  <si>
    <t>F718567</t>
  </si>
  <si>
    <t>B009</t>
  </si>
  <si>
    <t>Ubong Anuak</t>
  </si>
  <si>
    <t>ubonganuak56@gmail.com</t>
  </si>
  <si>
    <t>S175611</t>
  </si>
  <si>
    <t>B010</t>
  </si>
  <si>
    <t>Precious Effiong</t>
  </si>
  <si>
    <t>peffiong678@gmail.com</t>
  </si>
  <si>
    <t>F883482</t>
  </si>
  <si>
    <t>B011</t>
  </si>
  <si>
    <t>Idara Nnah</t>
  </si>
  <si>
    <t>nnahidara966@gmail.com</t>
  </si>
  <si>
    <t>J506636</t>
  </si>
  <si>
    <t>B012</t>
  </si>
  <si>
    <t>Iniobong William</t>
  </si>
  <si>
    <t>inbowilliams@gmail.com</t>
  </si>
  <si>
    <t>A820431</t>
  </si>
  <si>
    <t>B001</t>
  </si>
  <si>
    <t>H082308</t>
  </si>
  <si>
    <t>B002</t>
  </si>
  <si>
    <t>Wisdom Ekpenyong</t>
  </si>
  <si>
    <t>wizzyekpenyong@gmail.com</t>
  </si>
  <si>
    <t>O711171</t>
  </si>
  <si>
    <t>B003</t>
  </si>
  <si>
    <t>henro360@gmail.com</t>
  </si>
  <si>
    <t>B788605</t>
  </si>
  <si>
    <t>N105266</t>
  </si>
  <si>
    <t>C043405</t>
  </si>
  <si>
    <t>S038171</t>
  </si>
  <si>
    <t>S334327</t>
  </si>
  <si>
    <t>E834265</t>
  </si>
  <si>
    <t>P070453</t>
  </si>
  <si>
    <t>I988364</t>
  </si>
  <si>
    <t>D328175</t>
  </si>
  <si>
    <t>B550180</t>
  </si>
  <si>
    <t>B289390</t>
  </si>
  <si>
    <t>E314204</t>
  </si>
  <si>
    <t>B78-999</t>
  </si>
  <si>
    <t>Y432110</t>
  </si>
  <si>
    <t>E676780</t>
  </si>
  <si>
    <t>A656041</t>
  </si>
  <si>
    <t>A623317</t>
  </si>
  <si>
    <t>Member_ID</t>
  </si>
  <si>
    <t>Full_Name</t>
  </si>
  <si>
    <t>Email</t>
  </si>
  <si>
    <t>Phone</t>
  </si>
  <si>
    <t>Max_capacity</t>
  </si>
  <si>
    <t>Current_Load</t>
  </si>
  <si>
    <t>Active</t>
  </si>
  <si>
    <t>METRIC</t>
  </si>
  <si>
    <t>FORMULA</t>
  </si>
  <si>
    <t xml:space="preserve"> Total FTAs (All-time)</t>
  </si>
  <si>
    <t xml:space="preserve"> FTAs This Month</t>
  </si>
  <si>
    <t>FTAs This Week</t>
  </si>
  <si>
    <t xml:space="preserve"> FTAs Today</t>
  </si>
  <si>
    <t>Average Overall Experience Rating</t>
  </si>
  <si>
    <t xml:space="preserve"> Average Worship Rating</t>
  </si>
  <si>
    <t xml:space="preserve"> Average Word Rating</t>
  </si>
  <si>
    <t>Membership Interest Rate (%)</t>
  </si>
  <si>
    <t>Follow-up Completion Rate (%)</t>
  </si>
  <si>
    <t>FTA Source Analysis Table.</t>
  </si>
  <si>
    <t>SOURCE</t>
  </si>
  <si>
    <t>COUNT</t>
  </si>
  <si>
    <t>% of TOTAL</t>
  </si>
  <si>
    <t xml:space="preserve"> Colleague</t>
  </si>
  <si>
    <t xml:space="preserve"> Spouse</t>
  </si>
  <si>
    <t xml:space="preserve"> Self (Social Media)</t>
  </si>
  <si>
    <t xml:space="preserve"> Self (Billboard)</t>
  </si>
  <si>
    <t xml:space="preserve"> Home cell</t>
  </si>
  <si>
    <t xml:space="preserve"> Other</t>
  </si>
  <si>
    <t>A -Team Performance Table</t>
  </si>
  <si>
    <t>TEAM MEMBER</t>
  </si>
  <si>
    <t>ASSIGNMENT</t>
  </si>
  <si>
    <t>AVG OVERALL RATING</t>
  </si>
  <si>
    <t xml:space="preserve"> Monthly Trend Data.</t>
  </si>
  <si>
    <t>MONTH</t>
  </si>
  <si>
    <t>COUNT OF FTAs</t>
  </si>
  <si>
    <t xml:space="preserve"> 1st Call Outcome Analysis</t>
  </si>
  <si>
    <t>OUTCOME</t>
  </si>
  <si>
    <t>Closed</t>
  </si>
  <si>
    <t>Prayer Reques</t>
  </si>
  <si>
    <t>Transport needed</t>
  </si>
  <si>
    <t>Others</t>
  </si>
  <si>
    <t>VALUE</t>
  </si>
  <si>
    <t>Total FTA Responses</t>
  </si>
  <si>
    <t>FTAs Missing FTA_ID</t>
  </si>
  <si>
    <t>FTAs Missing Timestamp</t>
  </si>
  <si>
    <t>Assignments Without  Team Member</t>
  </si>
  <si>
    <t>Assignments without Status</t>
  </si>
  <si>
    <t>Feedback Without FTA_ID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</si>
</sst>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0.0000"/>
    <numFmt numFmtId="166" formatCode="&quot;. &quot;mmmyy"/>
    <numFmt numFmtId="167" formatCode="&quot;. &quot;m"/>
    <numFmt numFmtId="168" formatCode="m/d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b/>
      <sz val="13.0"/>
      <color theme="1"/>
      <name val="Arial"/>
      <scheme val="minor"/>
    </font>
    <font>
      <b/>
      <sz val="14.0"/>
      <color theme="1"/>
      <name val="Arial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quotePrefix="1"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Font="1"/>
    <xf borderId="0" fillId="0" fontId="1" numFmtId="0" xfId="0" applyFont="1"/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2" xfId="0" applyFont="1" applyNumberFormat="1"/>
    <xf borderId="0" fillId="0" fontId="1" numFmtId="165" xfId="0" applyFont="1" applyNumberForma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Font="1" applyNumberFormat="1"/>
    <xf borderId="0" fillId="3" fontId="5" numFmtId="0" xfId="0" applyAlignment="1" applyFill="1" applyFont="1">
      <alignment horizontal="center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7" numFmtId="2" xfId="0" applyAlignment="1" applyFont="1" applyNumberFormat="1">
      <alignment horizontal="right" vertical="bottom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tableStyles count="2">
    <tableStyle count="4" pivot="0" name="FTA_Respon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edback_Respon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39" displayName="Form_Responses" name="Form_Responses" id="1">
  <tableColumns count="17">
    <tableColumn name="Timestamp" id="1"/>
    <tableColumn name="Email Address" id="2"/>
    <tableColumn name="Full Name" id="3"/>
    <tableColumn name="Phone Number" id="4"/>
    <tableColumn name="Gender" id="5"/>
    <tableColumn name="Home Address" id="6"/>
    <tableColumn name="Hw was overall service experience?" id="7"/>
    <tableColumn name="How will you rate your WORSHIP experience?" id="8"/>
    <tableColumn name="How will you rate your WORD experience?" id="9"/>
    <tableColumn name="Any general feedback for us?" id="10"/>
    <tableColumn name="Wo invited you to TS?" id="11"/>
    <tableColumn name="Would you like to be a member of TSP? " id="12"/>
    <tableColumn name="I consent that my data provided in this form can be used  by the Standpoint Church as deemed appropriate" id="13"/>
    <tableColumn name="Select the most convenient date for your one-on-one meeting with Pastor Phil" id="14"/>
    <tableColumn name="FTA_ID" id="15"/>
    <tableColumn name="Response_Year" id="16"/>
    <tableColumn name="Response_Month" id="17"/>
  </tableColumns>
  <tableStyleInfo name="FTA_Responses-style" showColumnStripes="0" showFirstColumn="1" showLastColumn="1" showRowStripes="1"/>
</table>
</file>

<file path=xl/tables/table2.xml><?xml version="1.0" encoding="utf-8"?>
<table xmlns="http://schemas.openxmlformats.org/spreadsheetml/2006/main" ref="A1:M8" displayName="Form_Responses2" name="Form_Responses2" id="2">
  <tableColumns count="13">
    <tableColumn name="Timestamp" id="1"/>
    <tableColumn name="FTA_ID" id="2"/>
    <tableColumn name="A-Team Member" id="3"/>
    <tableColumn name="FTA Call" id="4"/>
    <tableColumn name="Called" id="5"/>
    <tableColumn name="Feedback" id="6"/>
    <tableColumn name="M&amp;G confirmation Date_on_1st_call" id="7"/>
    <tableColumn name="General feedback_on_1st_call" id="8"/>
    <tableColumn name="Choose the date you met your FTA" id="9"/>
    <tableColumn name="General feedback_on_2nd_call" id="10"/>
    <tableColumn name="General feedback_on_3rd_call" id="11"/>
    <tableColumn name="Date_on_M &amp; G_confirmation_call" id="12"/>
    <tableColumn name="Feedback_on_M&amp;G_confirmation_call" id="13"/>
  </tableColumns>
  <tableStyleInfo name="Feedback_Respon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4.25"/>
    <col customWidth="1" min="3" max="5" width="18.88"/>
    <col customWidth="1" min="6" max="6" width="26.63"/>
    <col customWidth="1" min="7" max="7" width="30.88"/>
    <col customWidth="1" min="8" max="8" width="37.63"/>
    <col customWidth="1" min="9" max="9" width="35.25"/>
    <col customWidth="1" min="10" max="10" width="35.38"/>
    <col customWidth="1" min="11" max="11" width="24.63"/>
    <col customWidth="1" min="12" max="12" width="34.0"/>
    <col customWidth="1" min="13" max="14" width="37.63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</row>
    <row r="2" ht="22.5" customHeight="1">
      <c r="A2" s="3">
        <v>46050.66705962963</v>
      </c>
      <c r="B2" s="4" t="s">
        <v>17</v>
      </c>
      <c r="C2" s="4" t="s">
        <v>18</v>
      </c>
      <c r="D2" s="5" t="s">
        <v>19</v>
      </c>
      <c r="E2" s="4" t="s">
        <v>20</v>
      </c>
      <c r="F2" s="4" t="s">
        <v>21</v>
      </c>
      <c r="G2" s="4">
        <v>4.0</v>
      </c>
      <c r="H2" s="4">
        <v>4.0</v>
      </c>
      <c r="I2" s="4">
        <v>4.0</v>
      </c>
      <c r="J2" s="4" t="s">
        <v>22</v>
      </c>
      <c r="K2" s="4" t="s">
        <v>23</v>
      </c>
      <c r="L2" s="4" t="s">
        <v>24</v>
      </c>
      <c r="M2" s="4" t="s">
        <v>25</v>
      </c>
      <c r="N2" s="5" t="s">
        <v>26</v>
      </c>
      <c r="O2" s="6" t="str">
        <f t="shared" ref="O2:O39" si="1">CONCATENATE(LEFT(C2, 1), RIGHT(D2, 6))</f>
        <v>A656041</v>
      </c>
      <c r="P2" s="7">
        <f t="shared" ref="P2:P39" si="2">IF(A2="","",
  IF(
    ISNUMBER(A2),
    YEAR(A2),
    YEAR(
      DATE(
        MID(A2,7,4),
        MID(A2,4,2),
        MID(A2,1,2)
      )
    )
  )
)
</f>
        <v>2026</v>
      </c>
      <c r="Q2" s="8" t="str">
        <f t="shared" ref="Q2:Q39" si="3">IF(A2="","",TEXT(A2,"mmm"))
</f>
        <v>Jan</v>
      </c>
    </row>
    <row r="3" ht="22.5" customHeight="1">
      <c r="A3" s="3">
        <v>46050.66896195602</v>
      </c>
      <c r="B3" s="4" t="s">
        <v>27</v>
      </c>
      <c r="C3" s="4" t="s">
        <v>28</v>
      </c>
      <c r="D3" s="4">
        <v>7.063970745E9</v>
      </c>
      <c r="E3" s="4" t="s">
        <v>29</v>
      </c>
      <c r="F3" s="4" t="s">
        <v>30</v>
      </c>
      <c r="G3" s="4">
        <v>4.0</v>
      </c>
      <c r="H3" s="4">
        <v>3.0</v>
      </c>
      <c r="I3" s="4">
        <v>3.0</v>
      </c>
      <c r="J3" s="4" t="s">
        <v>31</v>
      </c>
      <c r="K3" s="4" t="s">
        <v>23</v>
      </c>
      <c r="L3" s="4" t="s">
        <v>24</v>
      </c>
      <c r="M3" s="4" t="s">
        <v>25</v>
      </c>
      <c r="N3" s="5" t="s">
        <v>26</v>
      </c>
      <c r="O3" s="6" t="str">
        <f t="shared" si="1"/>
        <v>I970745</v>
      </c>
      <c r="P3" s="7">
        <f t="shared" si="2"/>
        <v>2026</v>
      </c>
      <c r="Q3" s="8" t="str">
        <f t="shared" si="3"/>
        <v>Jan</v>
      </c>
    </row>
    <row r="4" ht="22.5" customHeight="1">
      <c r="A4" s="3">
        <v>46051.2463812037</v>
      </c>
      <c r="B4" s="4" t="s">
        <v>32</v>
      </c>
      <c r="C4" s="4" t="s">
        <v>33</v>
      </c>
      <c r="D4" s="5" t="s">
        <v>34</v>
      </c>
      <c r="E4" s="4" t="s">
        <v>20</v>
      </c>
      <c r="F4" s="4" t="s">
        <v>35</v>
      </c>
      <c r="G4" s="4">
        <v>5.0</v>
      </c>
      <c r="H4" s="4">
        <v>4.0</v>
      </c>
      <c r="I4" s="4">
        <v>4.0</v>
      </c>
      <c r="K4" s="4" t="s">
        <v>36</v>
      </c>
      <c r="L4" s="4" t="s">
        <v>24</v>
      </c>
      <c r="M4" s="4" t="s">
        <v>25</v>
      </c>
      <c r="N4" s="5" t="s">
        <v>37</v>
      </c>
      <c r="O4" s="6" t="str">
        <f t="shared" si="1"/>
        <v>v046559</v>
      </c>
      <c r="P4" s="7">
        <f t="shared" si="2"/>
        <v>2026</v>
      </c>
      <c r="Q4" s="8" t="str">
        <f t="shared" si="3"/>
        <v>Jan</v>
      </c>
    </row>
    <row r="5" ht="22.5" customHeight="1">
      <c r="A5" s="3">
        <v>46051.61822791667</v>
      </c>
      <c r="B5" s="4" t="s">
        <v>38</v>
      </c>
      <c r="C5" s="4" t="s">
        <v>39</v>
      </c>
      <c r="D5" s="5" t="s">
        <v>40</v>
      </c>
      <c r="E5" s="4" t="s">
        <v>29</v>
      </c>
      <c r="F5" s="4" t="s">
        <v>41</v>
      </c>
      <c r="G5" s="4">
        <v>5.0</v>
      </c>
      <c r="H5" s="4">
        <v>4.0</v>
      </c>
      <c r="I5" s="4">
        <v>5.0</v>
      </c>
      <c r="J5" s="4" t="s">
        <v>42</v>
      </c>
      <c r="K5" s="4" t="s">
        <v>23</v>
      </c>
      <c r="L5" s="4" t="s">
        <v>24</v>
      </c>
      <c r="M5" s="4" t="s">
        <v>25</v>
      </c>
      <c r="N5" s="5" t="s">
        <v>26</v>
      </c>
      <c r="O5" s="6" t="str">
        <f t="shared" si="1"/>
        <v>U856125</v>
      </c>
      <c r="P5" s="7">
        <f t="shared" si="2"/>
        <v>2026</v>
      </c>
      <c r="Q5" s="8" t="str">
        <f t="shared" si="3"/>
        <v>Jan</v>
      </c>
    </row>
    <row r="6" ht="22.5" customHeight="1">
      <c r="A6" s="3">
        <v>46051.67530840277</v>
      </c>
      <c r="B6" s="4" t="s">
        <v>43</v>
      </c>
      <c r="C6" s="4" t="s">
        <v>44</v>
      </c>
      <c r="D6" s="4" t="s">
        <v>45</v>
      </c>
      <c r="E6" s="4" t="s">
        <v>29</v>
      </c>
      <c r="F6" s="4" t="s">
        <v>46</v>
      </c>
      <c r="G6" s="4">
        <v>4.0</v>
      </c>
      <c r="H6" s="4">
        <v>4.0</v>
      </c>
      <c r="I6" s="4">
        <v>4.0</v>
      </c>
      <c r="K6" s="4" t="s">
        <v>23</v>
      </c>
      <c r="L6" s="4" t="s">
        <v>47</v>
      </c>
      <c r="M6" s="4" t="s">
        <v>25</v>
      </c>
      <c r="N6" s="5" t="s">
        <v>37</v>
      </c>
      <c r="O6" s="6" t="str">
        <f t="shared" si="1"/>
        <v>O355176</v>
      </c>
      <c r="P6" s="7">
        <f t="shared" si="2"/>
        <v>2026</v>
      </c>
      <c r="Q6" s="8" t="str">
        <f t="shared" si="3"/>
        <v>Jan</v>
      </c>
    </row>
    <row r="7" ht="22.5" customHeight="1">
      <c r="A7" s="3">
        <v>46051.778567650465</v>
      </c>
      <c r="B7" s="4" t="s">
        <v>48</v>
      </c>
      <c r="C7" s="4" t="s">
        <v>49</v>
      </c>
      <c r="D7" s="5" t="s">
        <v>50</v>
      </c>
      <c r="E7" s="4" t="s">
        <v>20</v>
      </c>
      <c r="F7" s="4" t="s">
        <v>51</v>
      </c>
      <c r="G7" s="4">
        <v>4.0</v>
      </c>
      <c r="H7" s="4">
        <v>4.0</v>
      </c>
      <c r="I7" s="4">
        <v>3.0</v>
      </c>
      <c r="J7" s="4" t="s">
        <v>52</v>
      </c>
      <c r="K7" s="4" t="s">
        <v>23</v>
      </c>
      <c r="L7" s="4" t="s">
        <v>24</v>
      </c>
      <c r="M7" s="4" t="s">
        <v>25</v>
      </c>
      <c r="N7" s="5" t="s">
        <v>53</v>
      </c>
      <c r="O7" s="6" t="str">
        <f t="shared" si="1"/>
        <v>S916736</v>
      </c>
      <c r="P7" s="7">
        <f t="shared" si="2"/>
        <v>2026</v>
      </c>
      <c r="Q7" s="8" t="str">
        <f t="shared" si="3"/>
        <v>Jan</v>
      </c>
    </row>
    <row r="8" ht="22.5" customHeight="1">
      <c r="A8" s="3">
        <v>46052.31643158565</v>
      </c>
      <c r="B8" s="4" t="s">
        <v>54</v>
      </c>
      <c r="C8" s="4" t="s">
        <v>55</v>
      </c>
      <c r="D8" s="5" t="s">
        <v>56</v>
      </c>
      <c r="E8" s="4" t="s">
        <v>29</v>
      </c>
      <c r="F8" s="4" t="s">
        <v>57</v>
      </c>
      <c r="G8" s="4">
        <v>4.0</v>
      </c>
      <c r="H8" s="4">
        <v>4.0</v>
      </c>
      <c r="I8" s="4">
        <v>4.0</v>
      </c>
      <c r="J8" s="4" t="s">
        <v>58</v>
      </c>
      <c r="K8" s="4" t="s">
        <v>23</v>
      </c>
      <c r="L8" s="4" t="s">
        <v>24</v>
      </c>
      <c r="M8" s="4" t="s">
        <v>25</v>
      </c>
      <c r="N8" s="5" t="s">
        <v>37</v>
      </c>
      <c r="O8" s="6" t="str">
        <f t="shared" si="1"/>
        <v>E565855</v>
      </c>
      <c r="P8" s="7">
        <f t="shared" si="2"/>
        <v>2026</v>
      </c>
      <c r="Q8" s="8" t="str">
        <f t="shared" si="3"/>
        <v>Jan</v>
      </c>
    </row>
    <row r="9" ht="22.5" customHeight="1">
      <c r="A9" s="3">
        <v>46052.47971377315</v>
      </c>
      <c r="B9" s="4" t="s">
        <v>59</v>
      </c>
      <c r="C9" s="4" t="s">
        <v>60</v>
      </c>
      <c r="D9" s="5" t="s">
        <v>61</v>
      </c>
      <c r="E9" s="4" t="s">
        <v>29</v>
      </c>
      <c r="F9" s="4" t="s">
        <v>62</v>
      </c>
      <c r="G9" s="4">
        <v>5.0</v>
      </c>
      <c r="H9" s="4">
        <v>5.0</v>
      </c>
      <c r="I9" s="4">
        <v>5.0</v>
      </c>
      <c r="J9" s="4" t="s">
        <v>63</v>
      </c>
      <c r="K9" s="4" t="s">
        <v>23</v>
      </c>
      <c r="L9" s="4" t="s">
        <v>47</v>
      </c>
      <c r="M9" s="4" t="s">
        <v>25</v>
      </c>
      <c r="N9" s="5" t="s">
        <v>37</v>
      </c>
      <c r="O9" s="6" t="str">
        <f t="shared" si="1"/>
        <v>T303085</v>
      </c>
      <c r="P9" s="7">
        <f t="shared" si="2"/>
        <v>2026</v>
      </c>
      <c r="Q9" s="8" t="str">
        <f t="shared" si="3"/>
        <v>Jan</v>
      </c>
    </row>
    <row r="10" ht="22.5" customHeight="1">
      <c r="A10" s="3">
        <v>46052.721941875</v>
      </c>
      <c r="B10" s="4" t="s">
        <v>64</v>
      </c>
      <c r="C10" s="4" t="s">
        <v>65</v>
      </c>
      <c r="D10" s="4">
        <v>8.052718567E9</v>
      </c>
      <c r="E10" s="4" t="s">
        <v>29</v>
      </c>
      <c r="F10" s="4" t="s">
        <v>66</v>
      </c>
      <c r="G10" s="4">
        <v>5.0</v>
      </c>
      <c r="H10" s="4">
        <v>5.0</v>
      </c>
      <c r="I10" s="4">
        <v>5.0</v>
      </c>
      <c r="J10" s="4" t="s">
        <v>67</v>
      </c>
      <c r="K10" s="4" t="s">
        <v>68</v>
      </c>
      <c r="L10" s="4" t="s">
        <v>24</v>
      </c>
      <c r="M10" s="4" t="s">
        <v>25</v>
      </c>
      <c r="N10" s="5" t="s">
        <v>53</v>
      </c>
      <c r="O10" s="6" t="str">
        <f t="shared" si="1"/>
        <v>F718567</v>
      </c>
      <c r="P10" s="7">
        <f t="shared" si="2"/>
        <v>2026</v>
      </c>
      <c r="Q10" s="8" t="str">
        <f t="shared" si="3"/>
        <v>Jan</v>
      </c>
    </row>
    <row r="11" ht="22.5" customHeight="1">
      <c r="A11" s="3">
        <v>46052.834408634255</v>
      </c>
      <c r="B11" s="4" t="s">
        <v>69</v>
      </c>
      <c r="C11" s="4" t="s">
        <v>70</v>
      </c>
      <c r="D11" s="4" t="s">
        <v>71</v>
      </c>
      <c r="E11" s="4" t="s">
        <v>20</v>
      </c>
      <c r="F11" s="4" t="s">
        <v>72</v>
      </c>
      <c r="G11" s="4">
        <v>5.0</v>
      </c>
      <c r="H11" s="4">
        <v>5.0</v>
      </c>
      <c r="I11" s="4">
        <v>5.0</v>
      </c>
      <c r="K11" s="4" t="s">
        <v>73</v>
      </c>
      <c r="L11" s="4" t="s">
        <v>74</v>
      </c>
      <c r="M11" s="4" t="s">
        <v>25</v>
      </c>
      <c r="N11" s="5" t="s">
        <v>75</v>
      </c>
      <c r="O11" s="6" t="str">
        <f t="shared" si="1"/>
        <v>S175611</v>
      </c>
      <c r="P11" s="7">
        <f t="shared" si="2"/>
        <v>2026</v>
      </c>
      <c r="Q11" s="8" t="str">
        <f t="shared" si="3"/>
        <v>Jan</v>
      </c>
    </row>
    <row r="12" ht="22.5" customHeight="1">
      <c r="A12" s="3">
        <v>46053.38132534722</v>
      </c>
      <c r="B12" s="4" t="s">
        <v>76</v>
      </c>
      <c r="C12" s="4" t="s">
        <v>77</v>
      </c>
      <c r="D12" s="4">
        <v>8.116883482E9</v>
      </c>
      <c r="E12" s="4" t="s">
        <v>20</v>
      </c>
      <c r="F12" s="4" t="s">
        <v>78</v>
      </c>
      <c r="G12" s="4">
        <v>5.0</v>
      </c>
      <c r="H12" s="4">
        <v>5.0</v>
      </c>
      <c r="I12" s="4">
        <v>5.0</v>
      </c>
      <c r="K12" s="4" t="s">
        <v>23</v>
      </c>
      <c r="L12" s="4" t="s">
        <v>47</v>
      </c>
      <c r="M12" s="4" t="s">
        <v>25</v>
      </c>
      <c r="N12" s="5" t="s">
        <v>75</v>
      </c>
      <c r="O12" s="6" t="str">
        <f t="shared" si="1"/>
        <v>F883482</v>
      </c>
      <c r="P12" s="7">
        <f t="shared" si="2"/>
        <v>2026</v>
      </c>
      <c r="Q12" s="8" t="str">
        <f t="shared" si="3"/>
        <v>Jan</v>
      </c>
    </row>
    <row r="13" ht="22.5" customHeight="1">
      <c r="A13" s="3">
        <v>46053.38192996528</v>
      </c>
      <c r="B13" s="4" t="s">
        <v>79</v>
      </c>
      <c r="C13" s="4" t="s">
        <v>80</v>
      </c>
      <c r="D13" s="5" t="s">
        <v>81</v>
      </c>
      <c r="E13" s="4" t="s">
        <v>29</v>
      </c>
      <c r="F13" s="4" t="s">
        <v>82</v>
      </c>
      <c r="G13" s="4">
        <v>3.0</v>
      </c>
      <c r="H13" s="4">
        <v>3.0</v>
      </c>
      <c r="I13" s="4">
        <v>4.0</v>
      </c>
      <c r="K13" s="4" t="s">
        <v>23</v>
      </c>
      <c r="L13" s="4" t="s">
        <v>74</v>
      </c>
      <c r="M13" s="4" t="s">
        <v>25</v>
      </c>
      <c r="N13" s="5" t="s">
        <v>75</v>
      </c>
      <c r="O13" s="6" t="str">
        <f t="shared" si="1"/>
        <v>J506636</v>
      </c>
      <c r="P13" s="7">
        <f t="shared" si="2"/>
        <v>2026</v>
      </c>
      <c r="Q13" s="8" t="str">
        <f t="shared" si="3"/>
        <v>Jan</v>
      </c>
    </row>
    <row r="14" ht="22.5" customHeight="1">
      <c r="A14" s="3">
        <v>46053.41754515046</v>
      </c>
      <c r="B14" s="4" t="s">
        <v>83</v>
      </c>
      <c r="C14" s="4" t="s">
        <v>84</v>
      </c>
      <c r="D14" s="5" t="s">
        <v>85</v>
      </c>
      <c r="E14" s="4" t="s">
        <v>29</v>
      </c>
      <c r="F14" s="4" t="s">
        <v>86</v>
      </c>
      <c r="G14" s="4">
        <v>4.0</v>
      </c>
      <c r="H14" s="4">
        <v>4.0</v>
      </c>
      <c r="I14" s="4">
        <v>4.0</v>
      </c>
      <c r="J14" s="4" t="s">
        <v>87</v>
      </c>
      <c r="K14" s="4" t="s">
        <v>23</v>
      </c>
      <c r="L14" s="4" t="s">
        <v>74</v>
      </c>
      <c r="M14" s="4" t="s">
        <v>25</v>
      </c>
      <c r="N14" s="5" t="s">
        <v>37</v>
      </c>
      <c r="O14" s="6" t="str">
        <f t="shared" si="1"/>
        <v>A820431</v>
      </c>
      <c r="P14" s="7">
        <f t="shared" si="2"/>
        <v>2026</v>
      </c>
      <c r="Q14" s="8" t="str">
        <f t="shared" si="3"/>
        <v>Jan</v>
      </c>
    </row>
    <row r="15" ht="22.5" customHeight="1">
      <c r="A15" s="3">
        <v>46053.428072002316</v>
      </c>
      <c r="B15" s="4" t="s">
        <v>88</v>
      </c>
      <c r="C15" s="4" t="s">
        <v>89</v>
      </c>
      <c r="D15" s="5" t="s">
        <v>90</v>
      </c>
      <c r="E15" s="4" t="s">
        <v>29</v>
      </c>
      <c r="F15" s="4" t="s">
        <v>91</v>
      </c>
      <c r="G15" s="4">
        <v>5.0</v>
      </c>
      <c r="H15" s="4">
        <v>5.0</v>
      </c>
      <c r="I15" s="4">
        <v>5.0</v>
      </c>
      <c r="K15" s="4" t="s">
        <v>36</v>
      </c>
      <c r="L15" s="4" t="s">
        <v>74</v>
      </c>
      <c r="M15" s="4" t="s">
        <v>25</v>
      </c>
      <c r="N15" s="5" t="s">
        <v>37</v>
      </c>
      <c r="O15" s="6" t="str">
        <f t="shared" si="1"/>
        <v>H082308</v>
      </c>
      <c r="P15" s="7">
        <f t="shared" si="2"/>
        <v>2026</v>
      </c>
      <c r="Q15" s="8" t="str">
        <f t="shared" si="3"/>
        <v>Jan</v>
      </c>
    </row>
    <row r="16" ht="22.5" customHeight="1">
      <c r="A16" s="3">
        <v>46053.450443078706</v>
      </c>
      <c r="B16" s="4" t="s">
        <v>92</v>
      </c>
      <c r="C16" s="4" t="s">
        <v>93</v>
      </c>
      <c r="D16" s="5" t="s">
        <v>94</v>
      </c>
      <c r="E16" s="4" t="s">
        <v>29</v>
      </c>
      <c r="F16" s="4" t="s">
        <v>95</v>
      </c>
      <c r="G16" s="4">
        <v>5.0</v>
      </c>
      <c r="H16" s="4">
        <v>5.0</v>
      </c>
      <c r="I16" s="4">
        <v>5.0</v>
      </c>
      <c r="K16" s="4" t="s">
        <v>23</v>
      </c>
      <c r="L16" s="4" t="s">
        <v>24</v>
      </c>
      <c r="M16" s="4" t="s">
        <v>25</v>
      </c>
      <c r="N16" s="5" t="s">
        <v>37</v>
      </c>
      <c r="O16" s="6" t="str">
        <f t="shared" si="1"/>
        <v>O711171</v>
      </c>
      <c r="P16" s="7">
        <f t="shared" si="2"/>
        <v>2026</v>
      </c>
      <c r="Q16" s="8" t="str">
        <f t="shared" si="3"/>
        <v>Jan</v>
      </c>
    </row>
    <row r="17" ht="22.5" customHeight="1">
      <c r="A17" s="3">
        <v>46053.4552119213</v>
      </c>
      <c r="B17" s="4" t="s">
        <v>96</v>
      </c>
      <c r="C17" s="4" t="s">
        <v>97</v>
      </c>
      <c r="D17" s="4">
        <v>7.070788605E9</v>
      </c>
      <c r="E17" s="4" t="s">
        <v>20</v>
      </c>
      <c r="F17" s="4" t="s">
        <v>98</v>
      </c>
      <c r="G17" s="4">
        <v>5.0</v>
      </c>
      <c r="H17" s="4">
        <v>5.0</v>
      </c>
      <c r="I17" s="4">
        <v>3.0</v>
      </c>
      <c r="J17" s="4" t="s">
        <v>99</v>
      </c>
      <c r="K17" s="4" t="s">
        <v>23</v>
      </c>
      <c r="L17" s="4" t="s">
        <v>47</v>
      </c>
      <c r="M17" s="4" t="s">
        <v>25</v>
      </c>
      <c r="N17" s="5" t="s">
        <v>75</v>
      </c>
      <c r="O17" s="6" t="str">
        <f t="shared" si="1"/>
        <v>B788605</v>
      </c>
      <c r="P17" s="7">
        <f t="shared" si="2"/>
        <v>2026</v>
      </c>
      <c r="Q17" s="8" t="str">
        <f t="shared" si="3"/>
        <v>Jan</v>
      </c>
    </row>
    <row r="18" ht="22.5" customHeight="1">
      <c r="A18" s="3">
        <v>46053.45835530093</v>
      </c>
      <c r="B18" s="4" t="s">
        <v>100</v>
      </c>
      <c r="C18" s="4" t="s">
        <v>101</v>
      </c>
      <c r="D18" s="5" t="s">
        <v>102</v>
      </c>
      <c r="E18" s="4" t="s">
        <v>29</v>
      </c>
      <c r="F18" s="4" t="s">
        <v>103</v>
      </c>
      <c r="G18" s="4">
        <v>5.0</v>
      </c>
      <c r="H18" s="4">
        <v>5.0</v>
      </c>
      <c r="I18" s="4">
        <v>5.0</v>
      </c>
      <c r="K18" s="4" t="s">
        <v>23</v>
      </c>
      <c r="L18" s="4" t="s">
        <v>47</v>
      </c>
      <c r="M18" s="4" t="s">
        <v>25</v>
      </c>
      <c r="N18" s="5" t="s">
        <v>75</v>
      </c>
      <c r="O18" s="6" t="str">
        <f t="shared" si="1"/>
        <v>N105266</v>
      </c>
      <c r="P18" s="7">
        <f t="shared" si="2"/>
        <v>2026</v>
      </c>
      <c r="Q18" s="8" t="str">
        <f t="shared" si="3"/>
        <v>Jan</v>
      </c>
    </row>
    <row r="19" ht="22.5" customHeight="1">
      <c r="A19" s="3">
        <v>46053.46495559027</v>
      </c>
      <c r="B19" s="4" t="s">
        <v>104</v>
      </c>
      <c r="C19" s="4" t="s">
        <v>105</v>
      </c>
      <c r="D19" s="5" t="s">
        <v>106</v>
      </c>
      <c r="E19" s="4" t="s">
        <v>29</v>
      </c>
      <c r="F19" s="4" t="s">
        <v>107</v>
      </c>
      <c r="G19" s="4">
        <v>3.0</v>
      </c>
      <c r="H19" s="4">
        <v>3.0</v>
      </c>
      <c r="I19" s="4">
        <v>3.0</v>
      </c>
      <c r="J19" s="4" t="s">
        <v>63</v>
      </c>
      <c r="K19" s="4" t="s">
        <v>108</v>
      </c>
      <c r="L19" s="4" t="s">
        <v>47</v>
      </c>
      <c r="M19" s="4" t="s">
        <v>25</v>
      </c>
      <c r="N19" s="5" t="s">
        <v>75</v>
      </c>
      <c r="O19" s="6" t="str">
        <f t="shared" si="1"/>
        <v>C043405</v>
      </c>
      <c r="P19" s="7">
        <f t="shared" si="2"/>
        <v>2026</v>
      </c>
      <c r="Q19" s="8" t="str">
        <f t="shared" si="3"/>
        <v>Jan</v>
      </c>
    </row>
    <row r="20" ht="22.5" customHeight="1">
      <c r="A20" s="3">
        <v>46053.48984417824</v>
      </c>
      <c r="B20" s="4" t="s">
        <v>109</v>
      </c>
      <c r="C20" s="4" t="s">
        <v>110</v>
      </c>
      <c r="D20" s="5" t="s">
        <v>111</v>
      </c>
      <c r="E20" s="4" t="s">
        <v>29</v>
      </c>
      <c r="F20" s="4" t="s">
        <v>112</v>
      </c>
      <c r="G20" s="4">
        <v>1.0</v>
      </c>
      <c r="H20" s="4">
        <v>1.0</v>
      </c>
      <c r="I20" s="4">
        <v>3.0</v>
      </c>
      <c r="K20" s="4" t="s">
        <v>23</v>
      </c>
      <c r="L20" s="4" t="s">
        <v>47</v>
      </c>
      <c r="M20" s="4" t="s">
        <v>25</v>
      </c>
      <c r="N20" s="5" t="s">
        <v>37</v>
      </c>
      <c r="O20" s="6" t="str">
        <f t="shared" si="1"/>
        <v>S038171</v>
      </c>
      <c r="P20" s="7">
        <f t="shared" si="2"/>
        <v>2026</v>
      </c>
      <c r="Q20" s="8" t="str">
        <f t="shared" si="3"/>
        <v>Jan</v>
      </c>
    </row>
    <row r="21" ht="22.5" customHeight="1">
      <c r="A21" s="3">
        <v>46053.510013692125</v>
      </c>
      <c r="B21" s="4" t="s">
        <v>113</v>
      </c>
      <c r="C21" s="4" t="s">
        <v>114</v>
      </c>
      <c r="D21" s="5" t="s">
        <v>115</v>
      </c>
      <c r="E21" s="4" t="s">
        <v>29</v>
      </c>
      <c r="F21" s="4" t="s">
        <v>116</v>
      </c>
      <c r="G21" s="4">
        <v>5.0</v>
      </c>
      <c r="H21" s="4">
        <v>4.0</v>
      </c>
      <c r="I21" s="4">
        <v>3.0</v>
      </c>
      <c r="K21" s="4" t="s">
        <v>23</v>
      </c>
      <c r="L21" s="4" t="s">
        <v>74</v>
      </c>
      <c r="M21" s="4" t="s">
        <v>25</v>
      </c>
      <c r="N21" s="5" t="s">
        <v>75</v>
      </c>
      <c r="O21" s="6" t="str">
        <f t="shared" si="1"/>
        <v>S334327</v>
      </c>
      <c r="P21" s="7">
        <f t="shared" si="2"/>
        <v>2026</v>
      </c>
      <c r="Q21" s="8" t="str">
        <f t="shared" si="3"/>
        <v>Jan</v>
      </c>
    </row>
    <row r="22" ht="22.5" customHeight="1">
      <c r="A22" s="3">
        <v>46053.512647696756</v>
      </c>
      <c r="B22" s="4" t="s">
        <v>117</v>
      </c>
      <c r="C22" s="4" t="s">
        <v>118</v>
      </c>
      <c r="D22" s="5" t="s">
        <v>119</v>
      </c>
      <c r="E22" s="4" t="s">
        <v>29</v>
      </c>
      <c r="F22" s="4" t="s">
        <v>120</v>
      </c>
      <c r="G22" s="4">
        <v>5.0</v>
      </c>
      <c r="H22" s="4">
        <v>5.0</v>
      </c>
      <c r="I22" s="4">
        <v>5.0</v>
      </c>
      <c r="K22" s="4" t="s">
        <v>23</v>
      </c>
      <c r="L22" s="4" t="s">
        <v>47</v>
      </c>
      <c r="M22" s="4" t="s">
        <v>25</v>
      </c>
      <c r="N22" s="5" t="s">
        <v>75</v>
      </c>
      <c r="O22" s="6" t="str">
        <f t="shared" si="1"/>
        <v>E834265</v>
      </c>
      <c r="P22" s="7">
        <f t="shared" si="2"/>
        <v>2026</v>
      </c>
      <c r="Q22" s="8" t="str">
        <f t="shared" si="3"/>
        <v>Jan</v>
      </c>
    </row>
    <row r="23" ht="22.5" customHeight="1">
      <c r="A23" s="3">
        <v>46053.53182452546</v>
      </c>
      <c r="B23" s="4" t="s">
        <v>121</v>
      </c>
      <c r="C23" s="4" t="s">
        <v>122</v>
      </c>
      <c r="D23" s="4" t="s">
        <v>123</v>
      </c>
      <c r="E23" s="4" t="s">
        <v>20</v>
      </c>
      <c r="F23" s="4" t="s">
        <v>124</v>
      </c>
      <c r="G23" s="4">
        <v>4.0</v>
      </c>
      <c r="H23" s="4">
        <v>4.0</v>
      </c>
      <c r="I23" s="4">
        <v>4.0</v>
      </c>
      <c r="J23" s="4" t="s">
        <v>125</v>
      </c>
      <c r="K23" s="4" t="s">
        <v>23</v>
      </c>
      <c r="L23" s="4" t="s">
        <v>47</v>
      </c>
      <c r="M23" s="4" t="s">
        <v>25</v>
      </c>
      <c r="N23" s="5" t="s">
        <v>26</v>
      </c>
      <c r="O23" s="6" t="str">
        <f t="shared" si="1"/>
        <v>P070453</v>
      </c>
      <c r="P23" s="7">
        <f t="shared" si="2"/>
        <v>2026</v>
      </c>
      <c r="Q23" s="8" t="str">
        <f t="shared" si="3"/>
        <v>Jan</v>
      </c>
    </row>
    <row r="24" ht="22.5" customHeight="1">
      <c r="A24" s="3">
        <v>46053.57414832176</v>
      </c>
      <c r="B24" s="4" t="s">
        <v>126</v>
      </c>
      <c r="C24" s="4" t="s">
        <v>127</v>
      </c>
      <c r="D24" s="5" t="s">
        <v>128</v>
      </c>
      <c r="E24" s="4" t="s">
        <v>29</v>
      </c>
      <c r="F24" s="4" t="s">
        <v>66</v>
      </c>
      <c r="G24" s="4">
        <v>4.0</v>
      </c>
      <c r="H24" s="4">
        <v>4.0</v>
      </c>
      <c r="I24" s="4">
        <v>4.0</v>
      </c>
      <c r="K24" s="4" t="s">
        <v>23</v>
      </c>
      <c r="L24" s="4" t="s">
        <v>47</v>
      </c>
      <c r="M24" s="4" t="s">
        <v>25</v>
      </c>
      <c r="N24" s="5" t="s">
        <v>37</v>
      </c>
      <c r="O24" s="6" t="str">
        <f t="shared" si="1"/>
        <v>I988364</v>
      </c>
      <c r="P24" s="7">
        <f t="shared" si="2"/>
        <v>2026</v>
      </c>
      <c r="Q24" s="8" t="str">
        <f t="shared" si="3"/>
        <v>Jan</v>
      </c>
    </row>
    <row r="25" ht="22.5" customHeight="1">
      <c r="A25" s="3">
        <v>46053.61459923611</v>
      </c>
      <c r="B25" s="4" t="s">
        <v>129</v>
      </c>
      <c r="C25" s="4" t="s">
        <v>130</v>
      </c>
      <c r="D25" s="5" t="s">
        <v>131</v>
      </c>
      <c r="E25" s="4" t="s">
        <v>29</v>
      </c>
      <c r="F25" s="4" t="s">
        <v>132</v>
      </c>
      <c r="G25" s="4">
        <v>3.0</v>
      </c>
      <c r="H25" s="4">
        <v>4.0</v>
      </c>
      <c r="I25" s="4">
        <v>4.0</v>
      </c>
      <c r="J25" s="4" t="s">
        <v>133</v>
      </c>
      <c r="K25" s="4" t="s">
        <v>36</v>
      </c>
      <c r="L25" s="4" t="s">
        <v>24</v>
      </c>
      <c r="M25" s="4" t="s">
        <v>25</v>
      </c>
      <c r="N25" s="5" t="s">
        <v>75</v>
      </c>
      <c r="O25" s="6" t="str">
        <f t="shared" si="1"/>
        <v>D328175</v>
      </c>
      <c r="P25" s="7">
        <f t="shared" si="2"/>
        <v>2026</v>
      </c>
      <c r="Q25" s="8" t="str">
        <f t="shared" si="3"/>
        <v>Jan</v>
      </c>
    </row>
    <row r="26" ht="22.5" customHeight="1">
      <c r="A26" s="3">
        <v>46053.62402283565</v>
      </c>
      <c r="B26" s="4" t="s">
        <v>134</v>
      </c>
      <c r="C26" s="4" t="s">
        <v>135</v>
      </c>
      <c r="D26" s="5" t="s">
        <v>136</v>
      </c>
      <c r="E26" s="4" t="s">
        <v>29</v>
      </c>
      <c r="F26" s="4" t="s">
        <v>137</v>
      </c>
      <c r="G26" s="4">
        <v>5.0</v>
      </c>
      <c r="H26" s="4">
        <v>3.0</v>
      </c>
      <c r="I26" s="4">
        <v>4.0</v>
      </c>
      <c r="K26" s="4" t="s">
        <v>68</v>
      </c>
      <c r="L26" s="4" t="s">
        <v>74</v>
      </c>
      <c r="M26" s="4" t="s">
        <v>25</v>
      </c>
      <c r="N26" s="5" t="s">
        <v>37</v>
      </c>
      <c r="O26" s="6" t="str">
        <f t="shared" si="1"/>
        <v>B550180</v>
      </c>
      <c r="P26" s="7">
        <f t="shared" si="2"/>
        <v>2026</v>
      </c>
      <c r="Q26" s="8" t="str">
        <f t="shared" si="3"/>
        <v>Jan</v>
      </c>
    </row>
    <row r="27" ht="22.5" customHeight="1">
      <c r="A27" s="3">
        <v>46054.86882498843</v>
      </c>
      <c r="B27" s="4" t="s">
        <v>138</v>
      </c>
      <c r="C27" s="4" t="s">
        <v>139</v>
      </c>
      <c r="D27" s="5" t="s">
        <v>140</v>
      </c>
      <c r="E27" s="4" t="s">
        <v>20</v>
      </c>
      <c r="F27" s="4" t="s">
        <v>141</v>
      </c>
      <c r="G27" s="4">
        <v>4.0</v>
      </c>
      <c r="H27" s="4">
        <v>3.0</v>
      </c>
      <c r="I27" s="4">
        <v>2.0</v>
      </c>
      <c r="J27" s="4" t="s">
        <v>142</v>
      </c>
      <c r="K27" s="4" t="s">
        <v>23</v>
      </c>
      <c r="L27" s="4" t="s">
        <v>47</v>
      </c>
      <c r="M27" s="4" t="s">
        <v>25</v>
      </c>
      <c r="N27" s="5" t="s">
        <v>75</v>
      </c>
      <c r="O27" s="6" t="str">
        <f t="shared" si="1"/>
        <v>B289390</v>
      </c>
      <c r="P27" s="9">
        <f t="shared" si="2"/>
        <v>2026</v>
      </c>
      <c r="Q27" s="9" t="str">
        <f t="shared" si="3"/>
        <v>Feb</v>
      </c>
    </row>
    <row r="28" ht="22.5" customHeight="1">
      <c r="A28" s="3">
        <v>46055.46194519676</v>
      </c>
      <c r="B28" s="4" t="s">
        <v>143</v>
      </c>
      <c r="C28" s="4" t="s">
        <v>144</v>
      </c>
      <c r="D28" s="5" t="s">
        <v>145</v>
      </c>
      <c r="E28" s="4" t="s">
        <v>20</v>
      </c>
      <c r="F28" s="4" t="s">
        <v>146</v>
      </c>
      <c r="G28" s="4">
        <v>5.0</v>
      </c>
      <c r="H28" s="4">
        <v>4.0</v>
      </c>
      <c r="I28" s="4">
        <v>4.0</v>
      </c>
      <c r="K28" s="4" t="s">
        <v>23</v>
      </c>
      <c r="L28" s="4" t="s">
        <v>47</v>
      </c>
      <c r="M28" s="4" t="s">
        <v>25</v>
      </c>
      <c r="N28" s="5" t="s">
        <v>75</v>
      </c>
      <c r="O28" s="6" t="str">
        <f t="shared" si="1"/>
        <v>E314204</v>
      </c>
      <c r="P28" s="9">
        <f t="shared" si="2"/>
        <v>2026</v>
      </c>
      <c r="Q28" s="9" t="str">
        <f t="shared" si="3"/>
        <v>Feb</v>
      </c>
    </row>
    <row r="29" ht="22.5" customHeight="1">
      <c r="A29" s="3">
        <v>46056.995722430554</v>
      </c>
      <c r="B29" s="4" t="s">
        <v>147</v>
      </c>
      <c r="C29" s="4" t="s">
        <v>148</v>
      </c>
      <c r="D29" s="4" t="s">
        <v>149</v>
      </c>
      <c r="E29" s="4" t="s">
        <v>29</v>
      </c>
      <c r="F29" s="4" t="s">
        <v>150</v>
      </c>
      <c r="G29" s="4">
        <v>4.0</v>
      </c>
      <c r="H29" s="4">
        <v>5.0</v>
      </c>
      <c r="I29" s="4">
        <v>4.0</v>
      </c>
      <c r="J29" s="4" t="s">
        <v>151</v>
      </c>
      <c r="K29" s="4" t="s">
        <v>23</v>
      </c>
      <c r="L29" s="4" t="s">
        <v>47</v>
      </c>
      <c r="M29" s="4" t="s">
        <v>25</v>
      </c>
      <c r="N29" s="5" t="s">
        <v>75</v>
      </c>
      <c r="O29" s="6" t="str">
        <f t="shared" si="1"/>
        <v>S676843</v>
      </c>
      <c r="P29" s="9">
        <f t="shared" si="2"/>
        <v>2026</v>
      </c>
      <c r="Q29" s="9" t="str">
        <f t="shared" si="3"/>
        <v>Feb</v>
      </c>
    </row>
    <row r="30" ht="22.5" customHeight="1">
      <c r="A30" s="3">
        <v>46057.0144200463</v>
      </c>
      <c r="B30" s="4" t="s">
        <v>152</v>
      </c>
      <c r="C30" s="4" t="s">
        <v>153</v>
      </c>
      <c r="D30" s="5" t="s">
        <v>154</v>
      </c>
      <c r="E30" s="4" t="s">
        <v>20</v>
      </c>
      <c r="F30" s="4" t="s">
        <v>155</v>
      </c>
      <c r="G30" s="4">
        <v>3.0</v>
      </c>
      <c r="H30" s="4">
        <v>4.0</v>
      </c>
      <c r="I30" s="4">
        <v>4.0</v>
      </c>
      <c r="J30" s="4" t="s">
        <v>156</v>
      </c>
      <c r="K30" s="4" t="s">
        <v>157</v>
      </c>
      <c r="L30" s="4" t="s">
        <v>24</v>
      </c>
      <c r="M30" s="4" t="s">
        <v>25</v>
      </c>
      <c r="N30" s="5" t="s">
        <v>75</v>
      </c>
      <c r="O30" s="6" t="str">
        <f t="shared" si="1"/>
        <v>R624536</v>
      </c>
      <c r="P30" s="9">
        <f t="shared" si="2"/>
        <v>2026</v>
      </c>
      <c r="Q30" s="9" t="str">
        <f t="shared" si="3"/>
        <v>Feb</v>
      </c>
    </row>
    <row r="31" ht="22.5" customHeight="1">
      <c r="A31" s="3">
        <v>46057.01631523148</v>
      </c>
      <c r="B31" s="4" t="s">
        <v>158</v>
      </c>
      <c r="C31" s="4" t="s">
        <v>159</v>
      </c>
      <c r="D31" s="5" t="s">
        <v>160</v>
      </c>
      <c r="E31" s="4" t="s">
        <v>29</v>
      </c>
      <c r="F31" s="4" t="s">
        <v>161</v>
      </c>
      <c r="G31" s="4">
        <v>4.0</v>
      </c>
      <c r="H31" s="4">
        <v>3.0</v>
      </c>
      <c r="I31" s="4">
        <v>5.0</v>
      </c>
      <c r="J31" s="4" t="s">
        <v>162</v>
      </c>
      <c r="K31" s="4" t="s">
        <v>23</v>
      </c>
      <c r="L31" s="4" t="s">
        <v>74</v>
      </c>
      <c r="M31" s="4" t="s">
        <v>25</v>
      </c>
      <c r="N31" s="5" t="s">
        <v>53</v>
      </c>
      <c r="O31" s="6" t="str">
        <f t="shared" si="1"/>
        <v>L225556</v>
      </c>
      <c r="P31" s="9">
        <f t="shared" si="2"/>
        <v>2026</v>
      </c>
      <c r="Q31" s="9" t="str">
        <f t="shared" si="3"/>
        <v>Feb</v>
      </c>
    </row>
    <row r="32" ht="22.5" customHeight="1">
      <c r="A32" s="3">
        <v>46057.019644375</v>
      </c>
      <c r="B32" s="4" t="s">
        <v>152</v>
      </c>
      <c r="C32" s="4" t="s">
        <v>163</v>
      </c>
      <c r="D32" s="4" t="s">
        <v>164</v>
      </c>
      <c r="E32" s="4" t="s">
        <v>29</v>
      </c>
      <c r="F32" s="4" t="s">
        <v>165</v>
      </c>
      <c r="G32" s="4">
        <v>5.0</v>
      </c>
      <c r="H32" s="4">
        <v>5.0</v>
      </c>
      <c r="I32" s="4">
        <v>4.0</v>
      </c>
      <c r="J32" s="4" t="s">
        <v>166</v>
      </c>
      <c r="K32" s="4" t="s">
        <v>68</v>
      </c>
      <c r="L32" s="4" t="s">
        <v>74</v>
      </c>
      <c r="M32" s="4" t="s">
        <v>25</v>
      </c>
      <c r="N32" s="5" t="s">
        <v>75</v>
      </c>
      <c r="O32" s="6" t="str">
        <f t="shared" si="1"/>
        <v>B78-999</v>
      </c>
      <c r="P32" s="9">
        <f t="shared" si="2"/>
        <v>2026</v>
      </c>
      <c r="Q32" s="9" t="str">
        <f t="shared" si="3"/>
        <v>Feb</v>
      </c>
    </row>
    <row r="33" ht="22.5" customHeight="1">
      <c r="A33" s="3">
        <v>46057.024707523145</v>
      </c>
      <c r="B33" s="4" t="s">
        <v>167</v>
      </c>
      <c r="C33" s="4" t="s">
        <v>168</v>
      </c>
      <c r="D33" s="5" t="s">
        <v>169</v>
      </c>
      <c r="E33" s="4" t="s">
        <v>20</v>
      </c>
      <c r="F33" s="4" t="s">
        <v>170</v>
      </c>
      <c r="G33" s="4">
        <v>4.0</v>
      </c>
      <c r="H33" s="4">
        <v>3.0</v>
      </c>
      <c r="I33" s="4">
        <v>4.0</v>
      </c>
      <c r="J33" s="4" t="s">
        <v>171</v>
      </c>
      <c r="K33" s="4" t="s">
        <v>172</v>
      </c>
      <c r="L33" s="4" t="s">
        <v>74</v>
      </c>
      <c r="M33" s="4" t="s">
        <v>25</v>
      </c>
      <c r="N33" s="5" t="s">
        <v>75</v>
      </c>
      <c r="O33" s="6" t="str">
        <f t="shared" si="1"/>
        <v>C786512</v>
      </c>
      <c r="P33" s="9">
        <f t="shared" si="2"/>
        <v>2026</v>
      </c>
      <c r="Q33" s="9" t="str">
        <f t="shared" si="3"/>
        <v>Feb</v>
      </c>
    </row>
    <row r="34" ht="22.5" customHeight="1">
      <c r="A34" s="3">
        <v>46057.02719811343</v>
      </c>
      <c r="B34" s="4" t="s">
        <v>173</v>
      </c>
      <c r="C34" s="4" t="s">
        <v>174</v>
      </c>
      <c r="D34" s="5" t="s">
        <v>175</v>
      </c>
      <c r="E34" s="4" t="s">
        <v>29</v>
      </c>
      <c r="F34" s="4" t="s">
        <v>176</v>
      </c>
      <c r="G34" s="4">
        <v>5.0</v>
      </c>
      <c r="H34" s="4">
        <v>5.0</v>
      </c>
      <c r="I34" s="4">
        <v>4.0</v>
      </c>
      <c r="J34" s="4" t="s">
        <v>177</v>
      </c>
      <c r="K34" s="4" t="s">
        <v>73</v>
      </c>
      <c r="L34" s="4" t="s">
        <v>24</v>
      </c>
      <c r="M34" s="4" t="s">
        <v>25</v>
      </c>
      <c r="N34" s="5" t="s">
        <v>75</v>
      </c>
      <c r="O34" s="6" t="str">
        <f t="shared" si="1"/>
        <v>I445577</v>
      </c>
      <c r="P34" s="9">
        <f t="shared" si="2"/>
        <v>2026</v>
      </c>
      <c r="Q34" s="9" t="str">
        <f t="shared" si="3"/>
        <v>Feb</v>
      </c>
    </row>
    <row r="35" ht="22.5" customHeight="1">
      <c r="A35" s="3">
        <v>46057.029828032406</v>
      </c>
      <c r="B35" s="4" t="s">
        <v>178</v>
      </c>
      <c r="C35" s="4" t="s">
        <v>179</v>
      </c>
      <c r="D35" s="5" t="s">
        <v>180</v>
      </c>
      <c r="E35" s="4" t="s">
        <v>20</v>
      </c>
      <c r="F35" s="4" t="s">
        <v>181</v>
      </c>
      <c r="G35" s="4">
        <v>3.0</v>
      </c>
      <c r="H35" s="4">
        <v>4.0</v>
      </c>
      <c r="I35" s="4">
        <v>4.0</v>
      </c>
      <c r="J35" s="4" t="s">
        <v>182</v>
      </c>
      <c r="K35" s="4" t="s">
        <v>23</v>
      </c>
      <c r="L35" s="4" t="s">
        <v>47</v>
      </c>
      <c r="M35" s="4" t="s">
        <v>25</v>
      </c>
      <c r="N35" s="5" t="s">
        <v>75</v>
      </c>
      <c r="O35" s="6" t="str">
        <f t="shared" si="1"/>
        <v>A327711</v>
      </c>
      <c r="P35" s="9">
        <f t="shared" si="2"/>
        <v>2026</v>
      </c>
      <c r="Q35" s="9" t="str">
        <f t="shared" si="3"/>
        <v>Feb</v>
      </c>
    </row>
    <row r="36" ht="22.5" customHeight="1">
      <c r="A36" s="3">
        <v>46057.03269865741</v>
      </c>
      <c r="B36" s="4" t="s">
        <v>183</v>
      </c>
      <c r="C36" s="4" t="s">
        <v>184</v>
      </c>
      <c r="D36" s="5" t="s">
        <v>185</v>
      </c>
      <c r="E36" s="4" t="s">
        <v>29</v>
      </c>
      <c r="F36" s="4" t="s">
        <v>186</v>
      </c>
      <c r="G36" s="4">
        <v>4.0</v>
      </c>
      <c r="H36" s="4">
        <v>5.0</v>
      </c>
      <c r="I36" s="4">
        <v>4.0</v>
      </c>
      <c r="J36" s="4" t="s">
        <v>187</v>
      </c>
      <c r="K36" s="4" t="s">
        <v>68</v>
      </c>
      <c r="L36" s="4" t="s">
        <v>74</v>
      </c>
      <c r="M36" s="4" t="s">
        <v>25</v>
      </c>
      <c r="N36" s="5" t="s">
        <v>75</v>
      </c>
      <c r="O36" s="6" t="str">
        <f t="shared" si="1"/>
        <v>E333330</v>
      </c>
      <c r="P36" s="9">
        <f t="shared" si="2"/>
        <v>2026</v>
      </c>
      <c r="Q36" s="9" t="str">
        <f t="shared" si="3"/>
        <v>Feb</v>
      </c>
    </row>
    <row r="37" ht="22.5" customHeight="1">
      <c r="A37" s="3">
        <v>46057.034724178244</v>
      </c>
      <c r="B37" s="4" t="s">
        <v>188</v>
      </c>
      <c r="C37" s="4" t="s">
        <v>189</v>
      </c>
      <c r="D37" s="5" t="s">
        <v>190</v>
      </c>
      <c r="E37" s="4" t="s">
        <v>29</v>
      </c>
      <c r="F37" s="4" t="s">
        <v>191</v>
      </c>
      <c r="G37" s="4">
        <v>4.0</v>
      </c>
      <c r="H37" s="4">
        <v>4.0</v>
      </c>
      <c r="I37" s="4">
        <v>5.0</v>
      </c>
      <c r="J37" s="4" t="s">
        <v>192</v>
      </c>
      <c r="K37" s="4" t="s">
        <v>73</v>
      </c>
      <c r="L37" s="4" t="s">
        <v>74</v>
      </c>
      <c r="M37" s="4" t="s">
        <v>25</v>
      </c>
      <c r="N37" s="5" t="s">
        <v>75</v>
      </c>
      <c r="O37" s="6" t="str">
        <f t="shared" si="1"/>
        <v>Y432110</v>
      </c>
      <c r="P37" s="9">
        <f t="shared" si="2"/>
        <v>2026</v>
      </c>
      <c r="Q37" s="9" t="str">
        <f t="shared" si="3"/>
        <v>Feb</v>
      </c>
    </row>
    <row r="38" ht="22.5" customHeight="1">
      <c r="A38" s="3">
        <v>46057.03650991898</v>
      </c>
      <c r="B38" s="4" t="s">
        <v>193</v>
      </c>
      <c r="C38" s="4" t="s">
        <v>194</v>
      </c>
      <c r="D38" s="5" t="s">
        <v>195</v>
      </c>
      <c r="E38" s="4" t="s">
        <v>20</v>
      </c>
      <c r="F38" s="4" t="s">
        <v>196</v>
      </c>
      <c r="G38" s="4">
        <v>4.0</v>
      </c>
      <c r="H38" s="4">
        <v>5.0</v>
      </c>
      <c r="I38" s="4">
        <v>5.0</v>
      </c>
      <c r="J38" s="4" t="s">
        <v>197</v>
      </c>
      <c r="K38" s="4" t="s">
        <v>198</v>
      </c>
      <c r="L38" s="4" t="s">
        <v>47</v>
      </c>
      <c r="M38" s="4" t="s">
        <v>25</v>
      </c>
      <c r="N38" s="5" t="s">
        <v>75</v>
      </c>
      <c r="O38" s="6" t="str">
        <f t="shared" si="1"/>
        <v>E676780</v>
      </c>
      <c r="P38" s="9">
        <f t="shared" si="2"/>
        <v>2026</v>
      </c>
      <c r="Q38" s="9" t="str">
        <f t="shared" si="3"/>
        <v>Feb</v>
      </c>
    </row>
    <row r="39" ht="22.5" customHeight="1">
      <c r="A39" s="10">
        <v>46058.686200324075</v>
      </c>
      <c r="B39" s="11" t="s">
        <v>199</v>
      </c>
      <c r="C39" s="11" t="s">
        <v>200</v>
      </c>
      <c r="D39" s="11" t="s">
        <v>201</v>
      </c>
      <c r="E39" s="11" t="s">
        <v>29</v>
      </c>
      <c r="F39" s="11" t="s">
        <v>202</v>
      </c>
      <c r="G39" s="11">
        <v>5.0</v>
      </c>
      <c r="H39" s="11">
        <v>4.0</v>
      </c>
      <c r="I39" s="11">
        <v>5.0</v>
      </c>
      <c r="J39" s="11" t="s">
        <v>52</v>
      </c>
      <c r="K39" s="11" t="s">
        <v>23</v>
      </c>
      <c r="L39" s="11" t="s">
        <v>74</v>
      </c>
      <c r="M39" s="11" t="s">
        <v>25</v>
      </c>
      <c r="N39" s="12" t="s">
        <v>26</v>
      </c>
      <c r="O39" s="13" t="str">
        <f t="shared" si="1"/>
        <v>A623317</v>
      </c>
      <c r="P39" s="14">
        <f t="shared" si="2"/>
        <v>2026</v>
      </c>
      <c r="Q39" s="14" t="str">
        <f t="shared" si="3"/>
        <v>Feb</v>
      </c>
      <c r="R39" s="15"/>
      <c r="S39" s="15"/>
      <c r="T39" s="15"/>
    </row>
    <row r="40">
      <c r="O40" s="16"/>
    </row>
    <row r="41">
      <c r="O41" s="16"/>
    </row>
    <row r="42">
      <c r="O42" s="16"/>
    </row>
    <row r="43">
      <c r="O43" s="16"/>
    </row>
    <row r="44">
      <c r="O44" s="16"/>
    </row>
    <row r="45">
      <c r="O45" s="16"/>
    </row>
    <row r="46">
      <c r="O46" s="16"/>
    </row>
    <row r="47">
      <c r="O47" s="16"/>
    </row>
    <row r="48">
      <c r="O48" s="16"/>
    </row>
    <row r="49">
      <c r="O49" s="16"/>
    </row>
    <row r="50">
      <c r="O50" s="16"/>
    </row>
    <row r="51">
      <c r="O51" s="16"/>
    </row>
    <row r="52">
      <c r="O52" s="16"/>
    </row>
    <row r="53">
      <c r="O53" s="16"/>
    </row>
    <row r="54">
      <c r="O54" s="16"/>
    </row>
    <row r="55">
      <c r="O55" s="16"/>
    </row>
    <row r="56">
      <c r="O56" s="16"/>
    </row>
    <row r="57">
      <c r="O57" s="16"/>
    </row>
    <row r="58">
      <c r="O58" s="16"/>
    </row>
    <row r="59">
      <c r="O59" s="16"/>
    </row>
    <row r="60">
      <c r="O60" s="16"/>
    </row>
    <row r="61">
      <c r="O61" s="16"/>
    </row>
    <row r="62">
      <c r="O62" s="16"/>
    </row>
    <row r="63">
      <c r="O63" s="16"/>
    </row>
    <row r="64">
      <c r="O64" s="16"/>
    </row>
    <row r="65">
      <c r="O65" s="16"/>
    </row>
    <row r="66">
      <c r="O66" s="16"/>
    </row>
    <row r="67">
      <c r="O67" s="16"/>
    </row>
    <row r="68">
      <c r="O68" s="16"/>
    </row>
    <row r="69">
      <c r="O69" s="16"/>
    </row>
    <row r="70">
      <c r="O70" s="16"/>
    </row>
    <row r="71">
      <c r="O71" s="16"/>
    </row>
    <row r="72">
      <c r="O72" s="16"/>
    </row>
    <row r="73">
      <c r="O73" s="16"/>
    </row>
    <row r="74">
      <c r="O74" s="16"/>
    </row>
    <row r="75">
      <c r="O75" s="16"/>
    </row>
    <row r="76">
      <c r="O76" s="16"/>
    </row>
    <row r="77">
      <c r="O77" s="16"/>
    </row>
    <row r="78">
      <c r="O78" s="16"/>
    </row>
    <row r="79">
      <c r="O79" s="16"/>
    </row>
    <row r="80">
      <c r="O80" s="16"/>
    </row>
    <row r="81">
      <c r="O81" s="16"/>
    </row>
    <row r="82">
      <c r="O82" s="16"/>
    </row>
    <row r="83">
      <c r="O83" s="16"/>
    </row>
    <row r="84">
      <c r="O84" s="16"/>
    </row>
    <row r="85">
      <c r="O85" s="16"/>
    </row>
    <row r="86">
      <c r="O86" s="16"/>
    </row>
    <row r="87">
      <c r="O87" s="16"/>
    </row>
    <row r="88">
      <c r="O88" s="16"/>
    </row>
    <row r="89">
      <c r="O89" s="16"/>
    </row>
    <row r="90">
      <c r="O90" s="16"/>
    </row>
    <row r="91">
      <c r="O91" s="16"/>
    </row>
    <row r="92">
      <c r="O92" s="16"/>
    </row>
    <row r="93">
      <c r="O93" s="16"/>
    </row>
    <row r="94">
      <c r="O94" s="16"/>
    </row>
    <row r="95">
      <c r="O95" s="16"/>
    </row>
    <row r="96">
      <c r="O96" s="16"/>
    </row>
    <row r="97">
      <c r="O97" s="16"/>
    </row>
    <row r="98">
      <c r="O98" s="16"/>
    </row>
    <row r="99">
      <c r="O99" s="16"/>
    </row>
    <row r="100">
      <c r="O100" s="16"/>
    </row>
    <row r="101">
      <c r="O101" s="16"/>
    </row>
    <row r="102">
      <c r="O102" s="16"/>
    </row>
    <row r="103">
      <c r="O103" s="16"/>
    </row>
    <row r="104">
      <c r="O104" s="16"/>
    </row>
    <row r="105">
      <c r="O105" s="16"/>
    </row>
    <row r="106">
      <c r="O106" s="16"/>
    </row>
    <row r="107">
      <c r="O107" s="16"/>
    </row>
    <row r="108">
      <c r="O108" s="16"/>
    </row>
    <row r="109">
      <c r="O109" s="16"/>
    </row>
    <row r="110">
      <c r="O110" s="16"/>
    </row>
    <row r="111">
      <c r="O111" s="16"/>
    </row>
    <row r="112">
      <c r="O112" s="16"/>
    </row>
    <row r="113">
      <c r="O113" s="16"/>
    </row>
    <row r="114">
      <c r="O114" s="16"/>
    </row>
    <row r="115">
      <c r="O115" s="16"/>
    </row>
    <row r="116">
      <c r="O116" s="16"/>
    </row>
    <row r="117">
      <c r="O117" s="16"/>
    </row>
    <row r="118">
      <c r="O118" s="16"/>
    </row>
    <row r="119">
      <c r="O119" s="16"/>
    </row>
    <row r="120">
      <c r="O120" s="16"/>
    </row>
    <row r="121">
      <c r="O121" s="16"/>
    </row>
    <row r="122">
      <c r="O122" s="16"/>
    </row>
    <row r="123">
      <c r="O123" s="16"/>
    </row>
    <row r="124">
      <c r="O124" s="16"/>
    </row>
    <row r="125">
      <c r="O125" s="16"/>
    </row>
    <row r="126">
      <c r="O126" s="16"/>
    </row>
    <row r="127">
      <c r="O127" s="16"/>
    </row>
    <row r="128">
      <c r="O128" s="16"/>
    </row>
    <row r="129">
      <c r="O129" s="16"/>
    </row>
  </sheetData>
  <conditionalFormatting sqref="O2:O129">
    <cfRule type="expression" dxfId="5" priority="1">
      <formula>O2=""</formula>
    </cfRule>
  </conditionalFormatting>
  <dataValidations>
    <dataValidation type="list" allowBlank="1" sqref="K2:K39">
      <formula1>"A friend,Colleague,A worker in the church,Church member,Other,Spouse,Self (Social Media),A friend,Self(social Media),A worker in the church,Self(Billboard),Church member,Spouse"</formula1>
    </dataValidation>
    <dataValidation type="list" allowBlank="1" sqref="O2:O39">
      <formula1>"A656041,I970745,v046559,U856125,O355176,S916736,E565855,T303085,F718567,S175611,F883482,J506636,A820431,H082308,O711171,B788605,N105266,C043405,S038171,S334327,E834265,P070453,I988364,D328175,B550180,B289390,E314204,O567890,J567891,J567892,R567893,E567894"&amp;",P567895,A567896,O567897,M567898,E567899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31.13"/>
    <col customWidth="1" min="8" max="8" width="49.25"/>
    <col customWidth="1" min="9" max="9" width="30.25"/>
    <col customWidth="1" min="10" max="10" width="27.25"/>
    <col customWidth="1" min="11" max="11" width="26.88"/>
    <col customWidth="1" min="12" max="12" width="29.63"/>
    <col customWidth="1" min="13" max="13" width="32.5"/>
    <col customWidth="1" min="14" max="19" width="18.88"/>
  </cols>
  <sheetData>
    <row r="1" ht="22.5" customHeight="1">
      <c r="A1" s="1" t="s">
        <v>0</v>
      </c>
      <c r="B1" s="1" t="s">
        <v>14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</row>
    <row r="2" ht="22.5" customHeight="1">
      <c r="A2" s="17">
        <v>46057.088472222225</v>
      </c>
      <c r="B2" s="7" t="s">
        <v>214</v>
      </c>
      <c r="C2" s="7" t="s">
        <v>215</v>
      </c>
      <c r="D2" s="18" t="s">
        <v>216</v>
      </c>
      <c r="E2" s="18" t="s">
        <v>74</v>
      </c>
      <c r="F2" s="18" t="s">
        <v>217</v>
      </c>
      <c r="G2" s="19" t="s">
        <v>75</v>
      </c>
      <c r="H2" s="7" t="s">
        <v>218</v>
      </c>
      <c r="I2" s="20"/>
      <c r="J2" s="20"/>
      <c r="K2" s="20"/>
      <c r="L2" s="20"/>
      <c r="M2" s="20"/>
    </row>
    <row r="3" ht="22.5" customHeight="1">
      <c r="A3" s="3">
        <v>46057.341438194446</v>
      </c>
      <c r="B3" s="4" t="s">
        <v>219</v>
      </c>
      <c r="C3" s="4" t="s">
        <v>220</v>
      </c>
      <c r="D3" s="21" t="s">
        <v>216</v>
      </c>
      <c r="E3" s="21" t="s">
        <v>221</v>
      </c>
      <c r="F3" s="21" t="s">
        <v>222</v>
      </c>
      <c r="G3" s="5" t="s">
        <v>75</v>
      </c>
      <c r="H3" s="4" t="s">
        <v>223</v>
      </c>
    </row>
    <row r="4" ht="22.5" customHeight="1">
      <c r="A4" s="3">
        <v>46057.345725810184</v>
      </c>
      <c r="B4" s="4" t="s">
        <v>224</v>
      </c>
      <c r="C4" s="4" t="s">
        <v>225</v>
      </c>
      <c r="D4" s="21" t="s">
        <v>216</v>
      </c>
      <c r="E4" s="21" t="s">
        <v>74</v>
      </c>
      <c r="F4" s="21" t="s">
        <v>226</v>
      </c>
      <c r="G4" s="4" t="s">
        <v>227</v>
      </c>
      <c r="H4" s="4" t="s">
        <v>228</v>
      </c>
    </row>
    <row r="5" ht="22.5" customHeight="1">
      <c r="A5" s="3">
        <v>46057.348796516206</v>
      </c>
      <c r="B5" s="4" t="s">
        <v>229</v>
      </c>
      <c r="C5" s="4" t="s">
        <v>230</v>
      </c>
      <c r="D5" s="21" t="s">
        <v>216</v>
      </c>
      <c r="E5" s="21" t="s">
        <v>74</v>
      </c>
      <c r="F5" s="21" t="s">
        <v>231</v>
      </c>
      <c r="G5" s="5" t="s">
        <v>75</v>
      </c>
      <c r="H5" s="4" t="s">
        <v>232</v>
      </c>
    </row>
    <row r="6" ht="22.5" customHeight="1">
      <c r="A6" s="3">
        <v>46057.35076248842</v>
      </c>
      <c r="B6" s="4" t="s">
        <v>233</v>
      </c>
      <c r="C6" s="4" t="s">
        <v>234</v>
      </c>
      <c r="D6" s="21" t="s">
        <v>216</v>
      </c>
      <c r="E6" s="21" t="s">
        <v>74</v>
      </c>
      <c r="F6" s="21" t="s">
        <v>226</v>
      </c>
      <c r="G6" s="5" t="s">
        <v>75</v>
      </c>
      <c r="H6" s="4" t="s">
        <v>235</v>
      </c>
    </row>
    <row r="7" ht="22.5" customHeight="1">
      <c r="A7" s="3">
        <v>46057.36073047454</v>
      </c>
      <c r="B7" s="4" t="s">
        <v>236</v>
      </c>
      <c r="C7" s="4" t="s">
        <v>237</v>
      </c>
      <c r="D7" s="21" t="s">
        <v>216</v>
      </c>
      <c r="E7" s="21" t="s">
        <v>74</v>
      </c>
      <c r="F7" s="21" t="s">
        <v>238</v>
      </c>
      <c r="G7" s="5" t="s">
        <v>75</v>
      </c>
      <c r="H7" s="4" t="s">
        <v>239</v>
      </c>
    </row>
    <row r="8" ht="22.5" customHeight="1">
      <c r="A8" s="3">
        <v>46057.36399989584</v>
      </c>
      <c r="B8" s="4" t="s">
        <v>240</v>
      </c>
      <c r="C8" s="4" t="s">
        <v>241</v>
      </c>
      <c r="D8" s="21" t="s">
        <v>216</v>
      </c>
      <c r="E8" s="21" t="s">
        <v>74</v>
      </c>
      <c r="F8" s="21" t="s">
        <v>231</v>
      </c>
      <c r="G8" s="5" t="s">
        <v>75</v>
      </c>
      <c r="H8" s="4" t="s">
        <v>242</v>
      </c>
    </row>
    <row r="9">
      <c r="D9" s="16"/>
      <c r="E9" s="16"/>
      <c r="F9" s="16"/>
    </row>
    <row r="10">
      <c r="D10" s="16"/>
      <c r="E10" s="16"/>
      <c r="F10" s="16"/>
    </row>
    <row r="11">
      <c r="D11" s="16"/>
      <c r="E11" s="16"/>
      <c r="F11" s="16"/>
    </row>
    <row r="12">
      <c r="D12" s="16"/>
      <c r="E12" s="16"/>
      <c r="F12" s="16"/>
    </row>
    <row r="13">
      <c r="D13" s="16"/>
      <c r="E13" s="16"/>
      <c r="F13" s="16"/>
    </row>
    <row r="14">
      <c r="D14" s="16"/>
      <c r="E14" s="16"/>
      <c r="F14" s="16"/>
    </row>
    <row r="15">
      <c r="D15" s="16"/>
      <c r="E15" s="16"/>
      <c r="F15" s="16"/>
    </row>
    <row r="16">
      <c r="D16" s="16"/>
      <c r="E16" s="16"/>
      <c r="F16" s="16"/>
    </row>
    <row r="17">
      <c r="D17" s="16"/>
      <c r="E17" s="16"/>
      <c r="F17" s="16"/>
    </row>
    <row r="18">
      <c r="D18" s="16"/>
      <c r="E18" s="16"/>
      <c r="F18" s="16"/>
    </row>
    <row r="19">
      <c r="D19" s="16"/>
      <c r="E19" s="16"/>
      <c r="F19" s="16"/>
    </row>
    <row r="20">
      <c r="D20" s="16"/>
      <c r="E20" s="16"/>
      <c r="F20" s="16"/>
    </row>
    <row r="21">
      <c r="D21" s="16"/>
      <c r="E21" s="16"/>
      <c r="F21" s="16"/>
    </row>
    <row r="22">
      <c r="D22" s="16"/>
      <c r="E22" s="16"/>
      <c r="F22" s="16"/>
    </row>
    <row r="23">
      <c r="D23" s="16"/>
      <c r="E23" s="16"/>
      <c r="F23" s="16"/>
    </row>
    <row r="24">
      <c r="D24" s="16"/>
      <c r="E24" s="16"/>
      <c r="F24" s="16"/>
    </row>
    <row r="25">
      <c r="D25" s="16"/>
      <c r="E25" s="16"/>
      <c r="F25" s="16"/>
    </row>
    <row r="26">
      <c r="D26" s="16"/>
      <c r="E26" s="16"/>
      <c r="F26" s="16"/>
    </row>
    <row r="27">
      <c r="D27" s="16"/>
      <c r="E27" s="16"/>
      <c r="F27" s="16"/>
    </row>
    <row r="28">
      <c r="D28" s="16"/>
      <c r="E28" s="16"/>
      <c r="F28" s="16"/>
    </row>
    <row r="29">
      <c r="D29" s="16"/>
      <c r="E29" s="16"/>
      <c r="F29" s="16"/>
    </row>
    <row r="30">
      <c r="D30" s="16"/>
      <c r="E30" s="16"/>
      <c r="F30" s="16"/>
    </row>
    <row r="31">
      <c r="D31" s="16"/>
      <c r="E31" s="16"/>
      <c r="F31" s="16"/>
    </row>
    <row r="32">
      <c r="D32" s="16"/>
      <c r="E32" s="16"/>
      <c r="F32" s="16"/>
    </row>
    <row r="33">
      <c r="D33" s="16"/>
      <c r="E33" s="16"/>
      <c r="F33" s="16"/>
    </row>
    <row r="34">
      <c r="D34" s="16"/>
      <c r="E34" s="16"/>
      <c r="F34" s="16"/>
    </row>
    <row r="35">
      <c r="D35" s="16"/>
      <c r="E35" s="16"/>
      <c r="F35" s="16"/>
    </row>
    <row r="36">
      <c r="D36" s="16"/>
      <c r="E36" s="16"/>
      <c r="F36" s="16"/>
    </row>
    <row r="37">
      <c r="D37" s="16"/>
      <c r="E37" s="16"/>
      <c r="F37" s="16"/>
    </row>
    <row r="38">
      <c r="D38" s="16"/>
      <c r="E38" s="16"/>
      <c r="F38" s="16"/>
    </row>
    <row r="39">
      <c r="D39" s="16"/>
      <c r="E39" s="16"/>
      <c r="F39" s="16"/>
    </row>
    <row r="40">
      <c r="D40" s="16"/>
      <c r="E40" s="16"/>
      <c r="F40" s="16"/>
    </row>
    <row r="41">
      <c r="D41" s="16"/>
      <c r="E41" s="16"/>
      <c r="F41" s="16"/>
    </row>
    <row r="42">
      <c r="D42" s="16"/>
      <c r="E42" s="16"/>
      <c r="F42" s="16"/>
    </row>
    <row r="43">
      <c r="D43" s="16"/>
      <c r="E43" s="16"/>
      <c r="F43" s="16"/>
    </row>
    <row r="44">
      <c r="D44" s="16"/>
      <c r="E44" s="16"/>
      <c r="F44" s="16"/>
    </row>
    <row r="45">
      <c r="D45" s="16"/>
      <c r="E45" s="16"/>
      <c r="F45" s="16"/>
    </row>
    <row r="46">
      <c r="D46" s="16"/>
      <c r="E46" s="16"/>
      <c r="F46" s="16"/>
    </row>
    <row r="47">
      <c r="D47" s="16"/>
      <c r="E47" s="16"/>
      <c r="F47" s="16"/>
    </row>
    <row r="48">
      <c r="D48" s="16"/>
      <c r="E48" s="16"/>
      <c r="F48" s="16"/>
    </row>
    <row r="49">
      <c r="D49" s="16"/>
      <c r="E49" s="16"/>
      <c r="F49" s="16"/>
    </row>
    <row r="50">
      <c r="D50" s="16"/>
      <c r="E50" s="16"/>
      <c r="F50" s="16"/>
    </row>
    <row r="51">
      <c r="D51" s="16"/>
      <c r="E51" s="16"/>
      <c r="F51" s="16"/>
    </row>
    <row r="52">
      <c r="D52" s="16"/>
      <c r="E52" s="16"/>
      <c r="F52" s="16"/>
    </row>
    <row r="53">
      <c r="D53" s="16"/>
      <c r="E53" s="16"/>
      <c r="F53" s="16"/>
    </row>
    <row r="54">
      <c r="D54" s="16"/>
      <c r="E54" s="16"/>
      <c r="F54" s="16"/>
    </row>
    <row r="55">
      <c r="D55" s="16"/>
      <c r="E55" s="16"/>
      <c r="F55" s="16"/>
    </row>
    <row r="56">
      <c r="D56" s="16"/>
      <c r="E56" s="16"/>
      <c r="F56" s="16"/>
    </row>
    <row r="57">
      <c r="D57" s="16"/>
      <c r="E57" s="16"/>
      <c r="F57" s="16"/>
    </row>
    <row r="58">
      <c r="D58" s="16"/>
      <c r="E58" s="16"/>
      <c r="F58" s="16"/>
    </row>
    <row r="59">
      <c r="D59" s="16"/>
      <c r="E59" s="16"/>
      <c r="F59" s="16"/>
    </row>
    <row r="60">
      <c r="D60" s="16"/>
      <c r="E60" s="16"/>
      <c r="F60" s="16"/>
    </row>
    <row r="61">
      <c r="D61" s="16"/>
      <c r="E61" s="16"/>
      <c r="F61" s="16"/>
    </row>
    <row r="62">
      <c r="D62" s="16"/>
      <c r="E62" s="16"/>
      <c r="F62" s="16"/>
    </row>
    <row r="63">
      <c r="D63" s="16"/>
      <c r="E63" s="16"/>
      <c r="F63" s="16"/>
    </row>
    <row r="64">
      <c r="D64" s="16"/>
      <c r="E64" s="16"/>
      <c r="F64" s="16"/>
    </row>
    <row r="65">
      <c r="D65" s="16"/>
      <c r="E65" s="16"/>
      <c r="F65" s="16"/>
    </row>
    <row r="66">
      <c r="D66" s="16"/>
      <c r="E66" s="16"/>
      <c r="F66" s="16"/>
    </row>
    <row r="67">
      <c r="D67" s="16"/>
      <c r="E67" s="16"/>
      <c r="F67" s="16"/>
    </row>
    <row r="68">
      <c r="D68" s="16"/>
      <c r="E68" s="16"/>
      <c r="F68" s="16"/>
    </row>
    <row r="69">
      <c r="D69" s="16"/>
      <c r="E69" s="16"/>
      <c r="F69" s="16"/>
    </row>
    <row r="70">
      <c r="D70" s="16"/>
      <c r="E70" s="16"/>
      <c r="F70" s="16"/>
    </row>
    <row r="71">
      <c r="D71" s="16"/>
      <c r="E71" s="16"/>
      <c r="F71" s="16"/>
    </row>
    <row r="72">
      <c r="D72" s="16"/>
      <c r="E72" s="16"/>
      <c r="F72" s="16"/>
    </row>
    <row r="73">
      <c r="D73" s="16"/>
      <c r="E73" s="16"/>
      <c r="F73" s="16"/>
    </row>
    <row r="74">
      <c r="D74" s="16"/>
      <c r="E74" s="16"/>
      <c r="F74" s="16"/>
    </row>
    <row r="75">
      <c r="D75" s="16"/>
      <c r="E75" s="16"/>
      <c r="F75" s="16"/>
    </row>
    <row r="76">
      <c r="D76" s="16"/>
      <c r="E76" s="16"/>
      <c r="F76" s="16"/>
    </row>
    <row r="77">
      <c r="D77" s="16"/>
      <c r="E77" s="16"/>
      <c r="F77" s="16"/>
    </row>
    <row r="78">
      <c r="D78" s="16"/>
      <c r="E78" s="16"/>
      <c r="F78" s="16"/>
    </row>
    <row r="79">
      <c r="D79" s="16"/>
      <c r="E79" s="16"/>
      <c r="F79" s="16"/>
    </row>
    <row r="80">
      <c r="D80" s="16"/>
      <c r="E80" s="16"/>
      <c r="F80" s="16"/>
    </row>
    <row r="81">
      <c r="D81" s="16"/>
      <c r="E81" s="16"/>
      <c r="F81" s="16"/>
    </row>
    <row r="82">
      <c r="D82" s="16"/>
      <c r="E82" s="16"/>
      <c r="F82" s="16"/>
    </row>
    <row r="83">
      <c r="D83" s="16"/>
      <c r="E83" s="16"/>
      <c r="F83" s="16"/>
    </row>
    <row r="84">
      <c r="D84" s="16"/>
      <c r="E84" s="16"/>
      <c r="F84" s="16"/>
    </row>
    <row r="85">
      <c r="D85" s="16"/>
      <c r="E85" s="16"/>
      <c r="F85" s="16"/>
    </row>
    <row r="86">
      <c r="D86" s="16"/>
      <c r="E86" s="16"/>
      <c r="F86" s="16"/>
    </row>
    <row r="87">
      <c r="D87" s="16"/>
      <c r="E87" s="16"/>
      <c r="F87" s="16"/>
    </row>
    <row r="88">
      <c r="D88" s="16"/>
      <c r="E88" s="16"/>
      <c r="F88" s="16"/>
    </row>
    <row r="89">
      <c r="D89" s="16"/>
      <c r="E89" s="16"/>
      <c r="F89" s="16"/>
    </row>
    <row r="90">
      <c r="D90" s="16"/>
      <c r="E90" s="16"/>
      <c r="F90" s="16"/>
    </row>
    <row r="91">
      <c r="D91" s="16"/>
      <c r="E91" s="16"/>
      <c r="F91" s="16"/>
    </row>
    <row r="92">
      <c r="D92" s="16"/>
      <c r="E92" s="16"/>
      <c r="F92" s="16"/>
    </row>
    <row r="93">
      <c r="D93" s="16"/>
      <c r="E93" s="16"/>
      <c r="F93" s="16"/>
    </row>
    <row r="94">
      <c r="D94" s="16"/>
      <c r="E94" s="16"/>
      <c r="F94" s="16"/>
    </row>
    <row r="95">
      <c r="D95" s="16"/>
      <c r="E95" s="16"/>
      <c r="F95" s="16"/>
    </row>
    <row r="96">
      <c r="D96" s="16"/>
      <c r="E96" s="16"/>
      <c r="F96" s="16"/>
    </row>
    <row r="97">
      <c r="D97" s="16"/>
      <c r="E97" s="16"/>
      <c r="F97" s="16"/>
    </row>
    <row r="98">
      <c r="D98" s="16"/>
      <c r="E98" s="16"/>
      <c r="F98" s="16"/>
    </row>
    <row r="99">
      <c r="D99" s="16"/>
      <c r="E99" s="16"/>
      <c r="F99" s="16"/>
    </row>
    <row r="100">
      <c r="D100" s="16"/>
      <c r="E100" s="16"/>
      <c r="F100" s="16"/>
    </row>
    <row r="101">
      <c r="D101" s="16"/>
      <c r="E101" s="16"/>
      <c r="F101" s="16"/>
    </row>
    <row r="102">
      <c r="D102" s="16"/>
      <c r="E102" s="16"/>
      <c r="F102" s="16"/>
    </row>
    <row r="103">
      <c r="D103" s="16"/>
      <c r="E103" s="16"/>
      <c r="F103" s="16"/>
    </row>
    <row r="104">
      <c r="D104" s="16"/>
      <c r="E104" s="16"/>
      <c r="F104" s="16"/>
    </row>
    <row r="105">
      <c r="D105" s="16"/>
      <c r="E105" s="16"/>
      <c r="F105" s="16"/>
    </row>
    <row r="106">
      <c r="D106" s="16"/>
      <c r="E106" s="16"/>
      <c r="F106" s="16"/>
    </row>
    <row r="107">
      <c r="D107" s="16"/>
      <c r="E107" s="16"/>
      <c r="F107" s="16"/>
    </row>
    <row r="108">
      <c r="D108" s="16"/>
      <c r="E108" s="16"/>
      <c r="F108" s="16"/>
    </row>
  </sheetData>
  <dataValidations>
    <dataValidation type="list" allowBlank="1" showErrorMessage="1" sqref="E2:E108">
      <formula1>"Yes,Yes, but not reachable,Yes, but switched off,Yes, but didn't pick,Yes, sent TSP communique,Yes, sent a message"</formula1>
    </dataValidation>
    <dataValidation type="list" allowBlank="1" showErrorMessage="1" sqref="F2:F108">
      <formula1>"Closed,Just visiting,Out of town,Prayer request,Transport needed,Would love to join,Hope to visit again,Other"</formula1>
    </dataValidation>
    <dataValidation type="list" allowBlank="1" showErrorMessage="1" sqref="D2:D108">
      <formula1>"1st Call,2nd Call,3rd Call,M&amp;G Attended"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3" max="3" width="20.0"/>
    <col customWidth="1" min="4" max="4" width="18.25"/>
    <col customWidth="1" min="5" max="5" width="20.25"/>
    <col customWidth="1" min="6" max="6" width="21.25"/>
    <col customWidth="1" min="7" max="7" width="23.0"/>
    <col customWidth="1" min="10" max="10" width="19.5"/>
  </cols>
  <sheetData>
    <row r="1">
      <c r="A1" s="22" t="s">
        <v>0</v>
      </c>
      <c r="B1" s="22" t="s">
        <v>14</v>
      </c>
      <c r="C1" s="22" t="s">
        <v>243</v>
      </c>
      <c r="D1" s="22" t="s">
        <v>244</v>
      </c>
      <c r="E1" s="22" t="s">
        <v>245</v>
      </c>
      <c r="F1" s="22" t="s">
        <v>246</v>
      </c>
      <c r="G1" s="22" t="s">
        <v>247</v>
      </c>
      <c r="H1" s="22" t="s">
        <v>248</v>
      </c>
      <c r="I1" s="22" t="s">
        <v>249</v>
      </c>
      <c r="J1" s="22" t="s">
        <v>250</v>
      </c>
    </row>
    <row r="2">
      <c r="A2" s="23">
        <v>46051.61828381944</v>
      </c>
      <c r="B2" s="24" t="s">
        <v>251</v>
      </c>
      <c r="C2" s="24" t="s">
        <v>39</v>
      </c>
      <c r="D2" s="24" t="s">
        <v>38</v>
      </c>
      <c r="E2" s="24" t="s">
        <v>252</v>
      </c>
      <c r="F2" s="24" t="s">
        <v>230</v>
      </c>
      <c r="G2" s="24" t="s">
        <v>253</v>
      </c>
      <c r="H2" s="24" t="s">
        <v>254</v>
      </c>
      <c r="J2" s="24">
        <v>83.21</v>
      </c>
    </row>
    <row r="3">
      <c r="A3" s="23">
        <v>46051.67535295139</v>
      </c>
      <c r="B3" s="24" t="s">
        <v>255</v>
      </c>
      <c r="C3" s="24" t="s">
        <v>44</v>
      </c>
      <c r="D3" s="24" t="s">
        <v>43</v>
      </c>
      <c r="E3" s="24" t="s">
        <v>256</v>
      </c>
      <c r="F3" s="24" t="s">
        <v>234</v>
      </c>
      <c r="G3" s="24" t="s">
        <v>257</v>
      </c>
      <c r="H3" s="24" t="s">
        <v>254</v>
      </c>
      <c r="J3" s="24">
        <v>81.84</v>
      </c>
    </row>
    <row r="4">
      <c r="A4" s="23">
        <v>46051.7786303125</v>
      </c>
      <c r="B4" s="24" t="s">
        <v>258</v>
      </c>
      <c r="C4" s="24" t="s">
        <v>49</v>
      </c>
      <c r="D4" s="24" t="s">
        <v>48</v>
      </c>
      <c r="E4" s="24" t="s">
        <v>259</v>
      </c>
      <c r="F4" s="24" t="s">
        <v>215</v>
      </c>
      <c r="G4" s="24" t="s">
        <v>260</v>
      </c>
      <c r="H4" s="24" t="s">
        <v>254</v>
      </c>
      <c r="J4" s="24">
        <v>79.36</v>
      </c>
    </row>
    <row r="5">
      <c r="A5" s="23">
        <v>46052.316494687504</v>
      </c>
      <c r="B5" s="24" t="s">
        <v>261</v>
      </c>
      <c r="C5" s="24" t="s">
        <v>55</v>
      </c>
      <c r="D5" s="24" t="s">
        <v>54</v>
      </c>
      <c r="E5" s="24" t="s">
        <v>262</v>
      </c>
      <c r="F5" s="24" t="s">
        <v>237</v>
      </c>
      <c r="G5" s="24" t="s">
        <v>263</v>
      </c>
      <c r="H5" s="24" t="s">
        <v>254</v>
      </c>
      <c r="J5" s="24">
        <v>66.45</v>
      </c>
    </row>
    <row r="6">
      <c r="A6" s="23">
        <v>46052.47975943287</v>
      </c>
      <c r="B6" s="24" t="s">
        <v>264</v>
      </c>
      <c r="C6" s="24" t="s">
        <v>60</v>
      </c>
      <c r="D6" s="24" t="s">
        <v>59</v>
      </c>
      <c r="E6" s="24" t="s">
        <v>265</v>
      </c>
      <c r="F6" s="24" t="s">
        <v>241</v>
      </c>
      <c r="G6" s="24" t="s">
        <v>266</v>
      </c>
      <c r="H6" s="24" t="s">
        <v>254</v>
      </c>
      <c r="J6" s="24">
        <v>62.53</v>
      </c>
    </row>
    <row r="7">
      <c r="A7" s="23">
        <v>46052.72200194444</v>
      </c>
      <c r="B7" s="24" t="s">
        <v>267</v>
      </c>
      <c r="C7" s="24" t="s">
        <v>65</v>
      </c>
      <c r="D7" s="24" t="s">
        <v>64</v>
      </c>
      <c r="E7" s="24" t="s">
        <v>268</v>
      </c>
      <c r="F7" s="24" t="s">
        <v>269</v>
      </c>
      <c r="G7" s="24" t="s">
        <v>270</v>
      </c>
      <c r="H7" s="24" t="s">
        <v>254</v>
      </c>
      <c r="J7" s="24">
        <v>56.72</v>
      </c>
    </row>
    <row r="8">
      <c r="A8" s="23">
        <v>46052.834448912035</v>
      </c>
      <c r="B8" s="24" t="s">
        <v>271</v>
      </c>
      <c r="C8" s="24" t="s">
        <v>70</v>
      </c>
      <c r="D8" s="24" t="s">
        <v>69</v>
      </c>
      <c r="E8" s="24" t="s">
        <v>272</v>
      </c>
      <c r="F8" s="24" t="s">
        <v>273</v>
      </c>
      <c r="G8" s="24" t="s">
        <v>274</v>
      </c>
      <c r="H8" s="24" t="s">
        <v>254</v>
      </c>
      <c r="J8" s="24">
        <v>54.02</v>
      </c>
    </row>
    <row r="9">
      <c r="A9" s="23">
        <v>46053.38137084491</v>
      </c>
      <c r="B9" s="24" t="s">
        <v>275</v>
      </c>
      <c r="C9" s="24" t="s">
        <v>77</v>
      </c>
      <c r="D9" s="24" t="s">
        <v>76</v>
      </c>
      <c r="E9" s="24" t="s">
        <v>276</v>
      </c>
      <c r="F9" s="24" t="s">
        <v>277</v>
      </c>
      <c r="G9" s="24" t="s">
        <v>278</v>
      </c>
      <c r="H9" s="24" t="s">
        <v>254</v>
      </c>
      <c r="J9" s="24">
        <v>40.89</v>
      </c>
    </row>
    <row r="10">
      <c r="A10" s="23">
        <v>46053.381980046295</v>
      </c>
      <c r="B10" s="24" t="s">
        <v>279</v>
      </c>
      <c r="C10" s="24" t="s">
        <v>80</v>
      </c>
      <c r="D10" s="24" t="s">
        <v>79</v>
      </c>
      <c r="E10" s="24" t="s">
        <v>280</v>
      </c>
      <c r="F10" s="24" t="s">
        <v>281</v>
      </c>
      <c r="G10" s="24" t="s">
        <v>282</v>
      </c>
      <c r="H10" s="24" t="s">
        <v>254</v>
      </c>
      <c r="J10" s="24">
        <v>40.88</v>
      </c>
    </row>
    <row r="11">
      <c r="A11" s="23">
        <v>46053.417587268515</v>
      </c>
      <c r="B11" s="24" t="s">
        <v>283</v>
      </c>
      <c r="C11" s="24" t="s">
        <v>84</v>
      </c>
      <c r="D11" s="24" t="s">
        <v>83</v>
      </c>
      <c r="E11" s="24" t="s">
        <v>284</v>
      </c>
      <c r="F11" s="24" t="s">
        <v>220</v>
      </c>
      <c r="G11" s="24" t="s">
        <v>17</v>
      </c>
      <c r="H11" s="24" t="s">
        <v>254</v>
      </c>
      <c r="J11" s="24">
        <v>40.02</v>
      </c>
    </row>
    <row r="12">
      <c r="A12" s="23">
        <v>46053.428111875</v>
      </c>
      <c r="B12" s="24" t="s">
        <v>285</v>
      </c>
      <c r="C12" s="24" t="s">
        <v>89</v>
      </c>
      <c r="D12" s="24" t="s">
        <v>88</v>
      </c>
      <c r="E12" s="24" t="s">
        <v>286</v>
      </c>
      <c r="F12" s="24" t="s">
        <v>287</v>
      </c>
      <c r="G12" s="24" t="s">
        <v>288</v>
      </c>
      <c r="H12" s="24" t="s">
        <v>254</v>
      </c>
      <c r="J12" s="24">
        <v>39.77</v>
      </c>
    </row>
    <row r="13">
      <c r="A13" s="23">
        <v>46053.45048195602</v>
      </c>
      <c r="B13" s="24" t="s">
        <v>289</v>
      </c>
      <c r="C13" s="24" t="s">
        <v>93</v>
      </c>
      <c r="D13" s="24" t="s">
        <v>92</v>
      </c>
      <c r="E13" s="24" t="s">
        <v>290</v>
      </c>
      <c r="F13" s="24" t="s">
        <v>225</v>
      </c>
      <c r="G13" s="24" t="s">
        <v>291</v>
      </c>
      <c r="H13" s="24" t="s">
        <v>254</v>
      </c>
      <c r="J13" s="24">
        <v>39.23</v>
      </c>
    </row>
    <row r="14">
      <c r="A14" s="23">
        <v>46053.45524841435</v>
      </c>
      <c r="B14" s="24" t="s">
        <v>292</v>
      </c>
      <c r="C14" s="24" t="s">
        <v>97</v>
      </c>
      <c r="D14" s="24" t="s">
        <v>96</v>
      </c>
      <c r="E14" s="24" t="s">
        <v>252</v>
      </c>
      <c r="F14" s="24" t="s">
        <v>230</v>
      </c>
      <c r="G14" s="24" t="s">
        <v>253</v>
      </c>
      <c r="H14" s="24" t="s">
        <v>254</v>
      </c>
      <c r="J14" s="24">
        <v>39.12</v>
      </c>
    </row>
    <row r="15">
      <c r="A15" s="23">
        <v>46053.458404641206</v>
      </c>
      <c r="B15" s="24" t="s">
        <v>293</v>
      </c>
      <c r="C15" s="24" t="s">
        <v>101</v>
      </c>
      <c r="D15" s="24" t="s">
        <v>100</v>
      </c>
      <c r="E15" s="24" t="s">
        <v>256</v>
      </c>
      <c r="F15" s="24" t="s">
        <v>234</v>
      </c>
      <c r="G15" s="24" t="s">
        <v>257</v>
      </c>
      <c r="H15" s="24" t="s">
        <v>254</v>
      </c>
      <c r="J15" s="24">
        <v>39.04</v>
      </c>
    </row>
    <row r="16">
      <c r="A16" s="23">
        <v>46053.46499666666</v>
      </c>
      <c r="B16" s="24" t="s">
        <v>294</v>
      </c>
      <c r="C16" s="24" t="s">
        <v>105</v>
      </c>
      <c r="D16" s="24" t="s">
        <v>104</v>
      </c>
      <c r="E16" s="24" t="s">
        <v>259</v>
      </c>
      <c r="F16" s="24" t="s">
        <v>215</v>
      </c>
      <c r="G16" s="24" t="s">
        <v>260</v>
      </c>
      <c r="H16" s="24" t="s">
        <v>254</v>
      </c>
      <c r="J16" s="24">
        <v>38.89</v>
      </c>
    </row>
    <row r="17">
      <c r="A17" s="23">
        <v>46053.48988898148</v>
      </c>
      <c r="B17" s="24" t="s">
        <v>295</v>
      </c>
      <c r="C17" s="24" t="s">
        <v>110</v>
      </c>
      <c r="D17" s="24" t="s">
        <v>109</v>
      </c>
      <c r="E17" s="24" t="s">
        <v>262</v>
      </c>
      <c r="F17" s="24" t="s">
        <v>237</v>
      </c>
      <c r="G17" s="24" t="s">
        <v>263</v>
      </c>
      <c r="H17" s="24" t="s">
        <v>254</v>
      </c>
      <c r="J17" s="24">
        <v>38.29</v>
      </c>
    </row>
    <row r="18">
      <c r="A18" s="23">
        <v>46053.51006188657</v>
      </c>
      <c r="B18" s="24" t="s">
        <v>296</v>
      </c>
      <c r="C18" s="24" t="s">
        <v>114</v>
      </c>
      <c r="D18" s="24" t="s">
        <v>113</v>
      </c>
      <c r="E18" s="24" t="s">
        <v>265</v>
      </c>
      <c r="F18" s="24" t="s">
        <v>241</v>
      </c>
      <c r="G18" s="24" t="s">
        <v>266</v>
      </c>
      <c r="H18" s="24" t="s">
        <v>254</v>
      </c>
      <c r="J18" s="24">
        <v>37.8</v>
      </c>
    </row>
    <row r="19">
      <c r="A19" s="23">
        <v>46053.51269679399</v>
      </c>
      <c r="B19" s="24" t="s">
        <v>297</v>
      </c>
      <c r="C19" s="24" t="s">
        <v>118</v>
      </c>
      <c r="D19" s="24" t="s">
        <v>117</v>
      </c>
      <c r="E19" s="24" t="s">
        <v>268</v>
      </c>
      <c r="F19" s="24" t="s">
        <v>269</v>
      </c>
      <c r="G19" s="24" t="s">
        <v>270</v>
      </c>
      <c r="H19" s="24" t="s">
        <v>254</v>
      </c>
      <c r="J19" s="24">
        <v>37.74</v>
      </c>
    </row>
    <row r="20">
      <c r="A20" s="23">
        <v>46053.531867048616</v>
      </c>
      <c r="B20" s="24" t="s">
        <v>298</v>
      </c>
      <c r="C20" s="24" t="s">
        <v>122</v>
      </c>
      <c r="D20" s="24" t="s">
        <v>121</v>
      </c>
      <c r="E20" s="24" t="s">
        <v>272</v>
      </c>
      <c r="F20" s="24" t="s">
        <v>273</v>
      </c>
      <c r="G20" s="24" t="s">
        <v>274</v>
      </c>
      <c r="H20" s="24" t="s">
        <v>254</v>
      </c>
      <c r="J20" s="24">
        <v>37.28</v>
      </c>
    </row>
    <row r="21">
      <c r="A21" s="23">
        <v>46053.57419690972</v>
      </c>
      <c r="B21" s="24" t="s">
        <v>299</v>
      </c>
      <c r="C21" s="24" t="s">
        <v>127</v>
      </c>
      <c r="D21" s="24" t="s">
        <v>126</v>
      </c>
      <c r="E21" s="24" t="s">
        <v>276</v>
      </c>
      <c r="F21" s="24" t="s">
        <v>277</v>
      </c>
      <c r="G21" s="24" t="s">
        <v>278</v>
      </c>
      <c r="H21" s="24" t="s">
        <v>254</v>
      </c>
      <c r="J21" s="24">
        <v>36.26</v>
      </c>
    </row>
    <row r="22">
      <c r="A22" s="23">
        <v>46053.614656157406</v>
      </c>
      <c r="B22" s="24" t="s">
        <v>300</v>
      </c>
      <c r="C22" s="24" t="s">
        <v>130</v>
      </c>
      <c r="D22" s="24" t="s">
        <v>129</v>
      </c>
      <c r="E22" s="24" t="s">
        <v>280</v>
      </c>
      <c r="F22" s="24" t="s">
        <v>281</v>
      </c>
      <c r="G22" s="24" t="s">
        <v>282</v>
      </c>
      <c r="H22" s="24" t="s">
        <v>254</v>
      </c>
      <c r="J22" s="24">
        <v>35.29</v>
      </c>
    </row>
    <row r="23">
      <c r="A23" s="23">
        <v>46053.62406726852</v>
      </c>
      <c r="B23" s="24" t="s">
        <v>301</v>
      </c>
      <c r="C23" s="24" t="s">
        <v>135</v>
      </c>
      <c r="D23" s="24" t="s">
        <v>134</v>
      </c>
      <c r="E23" s="24" t="s">
        <v>284</v>
      </c>
      <c r="F23" s="24" t="s">
        <v>220</v>
      </c>
      <c r="G23" s="24" t="s">
        <v>17</v>
      </c>
      <c r="H23" s="24" t="s">
        <v>254</v>
      </c>
      <c r="J23" s="24">
        <v>35.07</v>
      </c>
    </row>
    <row r="24">
      <c r="A24" s="23">
        <v>46054.86888253472</v>
      </c>
      <c r="B24" s="24" t="s">
        <v>302</v>
      </c>
      <c r="C24" s="24" t="s">
        <v>139</v>
      </c>
      <c r="D24" s="24" t="s">
        <v>138</v>
      </c>
      <c r="E24" s="24" t="s">
        <v>286</v>
      </c>
      <c r="F24" s="24" t="s">
        <v>287</v>
      </c>
      <c r="G24" s="24" t="s">
        <v>288</v>
      </c>
      <c r="H24" s="24" t="s">
        <v>254</v>
      </c>
      <c r="J24" s="24">
        <v>5.19</v>
      </c>
    </row>
    <row r="25">
      <c r="A25" s="23">
        <v>46055.46199333333</v>
      </c>
      <c r="B25" s="24" t="s">
        <v>303</v>
      </c>
      <c r="C25" s="24" t="s">
        <v>144</v>
      </c>
      <c r="D25" s="24" t="s">
        <v>143</v>
      </c>
      <c r="E25" s="24" t="s">
        <v>290</v>
      </c>
      <c r="F25" s="24" t="s">
        <v>225</v>
      </c>
      <c r="G25" s="24" t="s">
        <v>291</v>
      </c>
      <c r="H25" s="24" t="s">
        <v>254</v>
      </c>
      <c r="J25" s="24">
        <v>19.9</v>
      </c>
    </row>
    <row r="26">
      <c r="A26" s="23">
        <v>46056.995770856476</v>
      </c>
      <c r="B26" s="24" t="s">
        <v>214</v>
      </c>
      <c r="C26" s="24" t="s">
        <v>148</v>
      </c>
      <c r="D26" s="24" t="s">
        <v>147</v>
      </c>
      <c r="E26" s="24" t="s">
        <v>252</v>
      </c>
      <c r="F26" s="24" t="s">
        <v>230</v>
      </c>
      <c r="G26" s="24" t="s">
        <v>253</v>
      </c>
      <c r="H26" s="24" t="s">
        <v>254</v>
      </c>
      <c r="J26" s="24">
        <v>7.09</v>
      </c>
    </row>
    <row r="27">
      <c r="A27" s="23">
        <v>46057.01447596065</v>
      </c>
      <c r="B27" s="24" t="s">
        <v>219</v>
      </c>
      <c r="C27" s="24" t="s">
        <v>153</v>
      </c>
      <c r="D27" s="24" t="s">
        <v>152</v>
      </c>
      <c r="E27" s="24" t="s">
        <v>256</v>
      </c>
      <c r="F27" s="24" t="s">
        <v>234</v>
      </c>
      <c r="G27" s="24" t="s">
        <v>257</v>
      </c>
      <c r="H27" s="24" t="s">
        <v>254</v>
      </c>
      <c r="J27" s="24">
        <v>6.64</v>
      </c>
    </row>
    <row r="28">
      <c r="A28" s="23">
        <v>46057.01635101852</v>
      </c>
      <c r="B28" s="24" t="s">
        <v>224</v>
      </c>
      <c r="C28" s="24" t="s">
        <v>159</v>
      </c>
      <c r="D28" s="24" t="s">
        <v>158</v>
      </c>
      <c r="E28" s="24" t="s">
        <v>259</v>
      </c>
      <c r="F28" s="24" t="s">
        <v>215</v>
      </c>
      <c r="G28" s="24" t="s">
        <v>260</v>
      </c>
      <c r="H28" s="24" t="s">
        <v>254</v>
      </c>
      <c r="J28" s="24">
        <v>6.6</v>
      </c>
    </row>
    <row r="29">
      <c r="A29" s="23">
        <v>46057.0196784375</v>
      </c>
      <c r="B29" s="24" t="s">
        <v>304</v>
      </c>
      <c r="C29" s="24" t="s">
        <v>163</v>
      </c>
      <c r="D29" s="24" t="s">
        <v>152</v>
      </c>
      <c r="E29" s="24" t="s">
        <v>262</v>
      </c>
      <c r="F29" s="24" t="s">
        <v>237</v>
      </c>
      <c r="G29" s="24" t="s">
        <v>263</v>
      </c>
      <c r="H29" s="24" t="s">
        <v>254</v>
      </c>
      <c r="J29" s="24">
        <v>6.52</v>
      </c>
    </row>
    <row r="30">
      <c r="A30" s="23">
        <v>46057.02477758102</v>
      </c>
      <c r="B30" s="24" t="s">
        <v>229</v>
      </c>
      <c r="C30" s="24" t="s">
        <v>168</v>
      </c>
      <c r="D30" s="24" t="s">
        <v>167</v>
      </c>
      <c r="E30" s="24" t="s">
        <v>265</v>
      </c>
      <c r="F30" s="24" t="s">
        <v>241</v>
      </c>
      <c r="G30" s="24" t="s">
        <v>266</v>
      </c>
      <c r="H30" s="24" t="s">
        <v>254</v>
      </c>
      <c r="J30" s="24">
        <v>6.4</v>
      </c>
    </row>
    <row r="31">
      <c r="A31" s="23">
        <v>46057.02724372685</v>
      </c>
      <c r="B31" s="24" t="s">
        <v>233</v>
      </c>
      <c r="C31" s="24" t="s">
        <v>174</v>
      </c>
      <c r="D31" s="24" t="s">
        <v>173</v>
      </c>
      <c r="E31" s="24" t="s">
        <v>268</v>
      </c>
      <c r="F31" s="24" t="s">
        <v>269</v>
      </c>
      <c r="G31" s="24" t="s">
        <v>270</v>
      </c>
      <c r="H31" s="24" t="s">
        <v>254</v>
      </c>
      <c r="J31" s="24">
        <v>6.34</v>
      </c>
    </row>
    <row r="32">
      <c r="A32" s="23">
        <v>46057.0298659375</v>
      </c>
      <c r="B32" s="24" t="s">
        <v>236</v>
      </c>
      <c r="C32" s="24" t="s">
        <v>179</v>
      </c>
      <c r="D32" s="24" t="s">
        <v>178</v>
      </c>
      <c r="E32" s="24" t="s">
        <v>272</v>
      </c>
      <c r="F32" s="24" t="s">
        <v>273</v>
      </c>
      <c r="G32" s="24" t="s">
        <v>274</v>
      </c>
      <c r="H32" s="24" t="s">
        <v>254</v>
      </c>
      <c r="J32" s="24">
        <v>6.27</v>
      </c>
    </row>
    <row r="33">
      <c r="A33" s="23">
        <v>46057.03274427084</v>
      </c>
      <c r="B33" s="24" t="s">
        <v>240</v>
      </c>
      <c r="C33" s="24" t="s">
        <v>184</v>
      </c>
      <c r="D33" s="24" t="s">
        <v>183</v>
      </c>
      <c r="E33" s="24" t="s">
        <v>276</v>
      </c>
      <c r="F33" s="24" t="s">
        <v>277</v>
      </c>
      <c r="G33" s="24" t="s">
        <v>278</v>
      </c>
      <c r="H33" s="24" t="s">
        <v>254</v>
      </c>
      <c r="J33" s="24">
        <v>6.21</v>
      </c>
    </row>
    <row r="34">
      <c r="A34" s="23">
        <v>46057.03475766204</v>
      </c>
      <c r="B34" s="24" t="s">
        <v>305</v>
      </c>
      <c r="C34" s="24" t="s">
        <v>189</v>
      </c>
      <c r="D34" s="24" t="s">
        <v>188</v>
      </c>
      <c r="E34" s="24" t="s">
        <v>280</v>
      </c>
      <c r="F34" s="24" t="s">
        <v>281</v>
      </c>
      <c r="G34" s="24" t="s">
        <v>282</v>
      </c>
      <c r="H34" s="24" t="s">
        <v>254</v>
      </c>
      <c r="J34" s="24">
        <v>6.16</v>
      </c>
    </row>
    <row r="35">
      <c r="A35" s="23">
        <v>46057.036544421295</v>
      </c>
      <c r="B35" s="24" t="s">
        <v>306</v>
      </c>
      <c r="C35" s="24" t="s">
        <v>194</v>
      </c>
      <c r="D35" s="24" t="s">
        <v>193</v>
      </c>
      <c r="E35" s="24" t="s">
        <v>284</v>
      </c>
      <c r="F35" s="24" t="s">
        <v>220</v>
      </c>
      <c r="G35" s="24" t="s">
        <v>17</v>
      </c>
      <c r="H35" s="24" t="s">
        <v>254</v>
      </c>
      <c r="J35" s="24">
        <v>6.11</v>
      </c>
    </row>
    <row r="36">
      <c r="A36" s="23">
        <v>46057.341504930555</v>
      </c>
      <c r="B36" s="24" t="s">
        <v>307</v>
      </c>
      <c r="C36" s="24" t="s">
        <v>220</v>
      </c>
      <c r="D36" s="24" t="s">
        <v>219</v>
      </c>
      <c r="E36" s="24" t="s">
        <v>290</v>
      </c>
      <c r="F36" s="24" t="s">
        <v>225</v>
      </c>
      <c r="G36" s="24" t="s">
        <v>291</v>
      </c>
      <c r="H36" s="24" t="s">
        <v>254</v>
      </c>
      <c r="J36" s="24">
        <v>22.8</v>
      </c>
    </row>
    <row r="37">
      <c r="A37" s="23">
        <v>46058.68624643519</v>
      </c>
      <c r="B37" s="24" t="s">
        <v>308</v>
      </c>
      <c r="C37" s="24" t="s">
        <v>200</v>
      </c>
      <c r="D37" s="24" t="s">
        <v>199</v>
      </c>
      <c r="E37" s="24" t="s">
        <v>268</v>
      </c>
      <c r="F37" s="24" t="s">
        <v>269</v>
      </c>
      <c r="G37" s="24" t="s">
        <v>270</v>
      </c>
      <c r="H37" s="24" t="s">
        <v>254</v>
      </c>
      <c r="J37" s="24">
        <v>14.52</v>
      </c>
    </row>
    <row r="38">
      <c r="H38" s="16"/>
    </row>
    <row r="39">
      <c r="H39" s="16"/>
    </row>
    <row r="40">
      <c r="H40" s="16"/>
    </row>
    <row r="41">
      <c r="H41" s="16"/>
    </row>
    <row r="42">
      <c r="H42" s="16"/>
    </row>
    <row r="43">
      <c r="H43" s="16"/>
    </row>
    <row r="44">
      <c r="H44" s="16"/>
    </row>
    <row r="45">
      <c r="H45" s="16"/>
    </row>
    <row r="46">
      <c r="H46" s="16"/>
    </row>
    <row r="47">
      <c r="H47" s="16"/>
    </row>
    <row r="48">
      <c r="H48" s="16"/>
    </row>
    <row r="49">
      <c r="H49" s="16"/>
    </row>
    <row r="50">
      <c r="H50" s="16"/>
    </row>
    <row r="51">
      <c r="H51" s="16"/>
    </row>
    <row r="52">
      <c r="H52" s="16"/>
    </row>
    <row r="53">
      <c r="H53" s="16"/>
    </row>
    <row r="54">
      <c r="H54" s="16"/>
    </row>
    <row r="55">
      <c r="H55" s="16"/>
    </row>
    <row r="56">
      <c r="H56" s="16"/>
    </row>
    <row r="57">
      <c r="H57" s="16"/>
    </row>
    <row r="58">
      <c r="H58" s="16"/>
    </row>
    <row r="59">
      <c r="H59" s="16"/>
    </row>
    <row r="60">
      <c r="H60" s="16"/>
    </row>
    <row r="61">
      <c r="H61" s="16"/>
    </row>
    <row r="62">
      <c r="H62" s="16"/>
    </row>
    <row r="63">
      <c r="H63" s="16"/>
    </row>
    <row r="64">
      <c r="H64" s="16"/>
    </row>
    <row r="65">
      <c r="H65" s="16"/>
    </row>
    <row r="66">
      <c r="H66" s="16"/>
    </row>
    <row r="67">
      <c r="H67" s="16"/>
    </row>
    <row r="68">
      <c r="H68" s="16"/>
    </row>
    <row r="69">
      <c r="H69" s="16"/>
    </row>
    <row r="70">
      <c r="H70" s="16"/>
    </row>
    <row r="71">
      <c r="H71" s="16"/>
    </row>
    <row r="72">
      <c r="H72" s="16"/>
    </row>
    <row r="73">
      <c r="H73" s="16"/>
    </row>
    <row r="74">
      <c r="H74" s="16"/>
    </row>
    <row r="75">
      <c r="H75" s="16"/>
    </row>
    <row r="76">
      <c r="H76" s="16"/>
    </row>
    <row r="77">
      <c r="H77" s="16"/>
    </row>
    <row r="78">
      <c r="H78" s="16"/>
    </row>
    <row r="79">
      <c r="H79" s="16"/>
    </row>
    <row r="80">
      <c r="H80" s="16"/>
    </row>
    <row r="81">
      <c r="H81" s="16"/>
    </row>
    <row r="82">
      <c r="H82" s="16"/>
    </row>
    <row r="83">
      <c r="H83" s="16"/>
    </row>
    <row r="84">
      <c r="H84" s="16"/>
    </row>
    <row r="85">
      <c r="H85" s="16"/>
    </row>
    <row r="86">
      <c r="H86" s="16"/>
    </row>
    <row r="87">
      <c r="H87" s="16"/>
    </row>
    <row r="88">
      <c r="H88" s="16"/>
    </row>
    <row r="89">
      <c r="H89" s="16"/>
    </row>
    <row r="90">
      <c r="H90" s="16"/>
    </row>
    <row r="91">
      <c r="H91" s="16"/>
    </row>
    <row r="92">
      <c r="H92" s="16"/>
    </row>
    <row r="93">
      <c r="H93" s="16"/>
    </row>
    <row r="94">
      <c r="H94" s="16"/>
    </row>
    <row r="95">
      <c r="H95" s="16"/>
    </row>
    <row r="96">
      <c r="H96" s="16"/>
    </row>
    <row r="97">
      <c r="H97" s="16"/>
    </row>
    <row r="98">
      <c r="H98" s="16"/>
    </row>
    <row r="99">
      <c r="H99" s="16"/>
    </row>
    <row r="100">
      <c r="H100" s="16"/>
    </row>
    <row r="101">
      <c r="H101" s="16"/>
    </row>
    <row r="102">
      <c r="H102" s="16"/>
    </row>
    <row r="103">
      <c r="H103" s="16"/>
    </row>
    <row r="104">
      <c r="H104" s="16"/>
    </row>
    <row r="105">
      <c r="H105" s="16"/>
    </row>
    <row r="106">
      <c r="H106" s="16"/>
    </row>
    <row r="107">
      <c r="H107" s="16"/>
    </row>
    <row r="108">
      <c r="H108" s="16"/>
    </row>
    <row r="109">
      <c r="H109" s="16"/>
    </row>
    <row r="110">
      <c r="H110" s="16"/>
    </row>
    <row r="111">
      <c r="H111" s="16"/>
    </row>
    <row r="112">
      <c r="H112" s="16"/>
    </row>
    <row r="113">
      <c r="H113" s="16"/>
    </row>
    <row r="114">
      <c r="H114" s="16"/>
    </row>
    <row r="115">
      <c r="H115" s="16"/>
    </row>
    <row r="116">
      <c r="H116" s="16"/>
    </row>
    <row r="117">
      <c r="H117" s="16"/>
    </row>
    <row r="118">
      <c r="H118" s="16"/>
    </row>
    <row r="119">
      <c r="H119" s="16"/>
    </row>
    <row r="120">
      <c r="H120" s="16"/>
    </row>
    <row r="121">
      <c r="H121" s="16"/>
    </row>
    <row r="122">
      <c r="H122" s="16"/>
    </row>
    <row r="123">
      <c r="H123" s="16"/>
    </row>
    <row r="124">
      <c r="H124" s="16"/>
    </row>
    <row r="125">
      <c r="H125" s="16"/>
    </row>
    <row r="126">
      <c r="H126" s="16"/>
    </row>
    <row r="127">
      <c r="H127" s="16"/>
    </row>
    <row r="128">
      <c r="H128" s="16"/>
    </row>
    <row r="129">
      <c r="H129" s="16"/>
    </row>
    <row r="130">
      <c r="H130" s="16"/>
    </row>
    <row r="131">
      <c r="H131" s="16"/>
    </row>
    <row r="132">
      <c r="H132" s="16"/>
    </row>
    <row r="133">
      <c r="H133" s="16"/>
    </row>
    <row r="134">
      <c r="H134" s="16"/>
    </row>
    <row r="135">
      <c r="H135" s="16"/>
    </row>
    <row r="136">
      <c r="H136" s="16"/>
    </row>
    <row r="137">
      <c r="H137" s="16"/>
    </row>
    <row r="138">
      <c r="H138" s="16"/>
    </row>
    <row r="139">
      <c r="H139" s="16"/>
    </row>
    <row r="140">
      <c r="H140" s="16"/>
    </row>
    <row r="141">
      <c r="H141" s="16"/>
    </row>
    <row r="142">
      <c r="H142" s="16"/>
    </row>
    <row r="143">
      <c r="H143" s="16"/>
    </row>
    <row r="144">
      <c r="H144" s="16"/>
    </row>
    <row r="145">
      <c r="H145" s="16"/>
    </row>
    <row r="146">
      <c r="H146" s="16"/>
    </row>
    <row r="147">
      <c r="H147" s="16"/>
    </row>
    <row r="148">
      <c r="H148" s="16"/>
    </row>
    <row r="149">
      <c r="H149" s="16"/>
    </row>
    <row r="150">
      <c r="H150" s="16"/>
    </row>
    <row r="151">
      <c r="H151" s="16"/>
    </row>
    <row r="152">
      <c r="H152" s="16"/>
    </row>
    <row r="153">
      <c r="H153" s="16"/>
    </row>
    <row r="154">
      <c r="H154" s="16"/>
    </row>
    <row r="155">
      <c r="H155" s="16"/>
    </row>
    <row r="156">
      <c r="H156" s="16"/>
    </row>
    <row r="157">
      <c r="H157" s="16"/>
    </row>
    <row r="158">
      <c r="H158" s="16"/>
    </row>
    <row r="159">
      <c r="H159" s="16"/>
    </row>
    <row r="160">
      <c r="H160" s="16"/>
    </row>
    <row r="161">
      <c r="H161" s="16"/>
    </row>
    <row r="162">
      <c r="H162" s="16"/>
    </row>
    <row r="163">
      <c r="H163" s="16"/>
    </row>
    <row r="164">
      <c r="H164" s="16"/>
    </row>
    <row r="165">
      <c r="H165" s="16"/>
    </row>
    <row r="166">
      <c r="H166" s="16"/>
    </row>
    <row r="167">
      <c r="H167" s="16"/>
    </row>
    <row r="168">
      <c r="H168" s="16"/>
    </row>
    <row r="169">
      <c r="H169" s="16"/>
    </row>
    <row r="170">
      <c r="H170" s="16"/>
    </row>
    <row r="171">
      <c r="H171" s="16"/>
    </row>
    <row r="172">
      <c r="H172" s="16"/>
    </row>
    <row r="173">
      <c r="H173" s="16"/>
    </row>
    <row r="174">
      <c r="H174" s="16"/>
    </row>
    <row r="175">
      <c r="H175" s="16"/>
    </row>
    <row r="176">
      <c r="H176" s="16"/>
    </row>
    <row r="177">
      <c r="H177" s="16"/>
    </row>
    <row r="178">
      <c r="H178" s="16"/>
    </row>
    <row r="179">
      <c r="H179" s="16"/>
    </row>
    <row r="180">
      <c r="H180" s="16"/>
    </row>
    <row r="181">
      <c r="H181" s="16"/>
    </row>
    <row r="182">
      <c r="H182" s="16"/>
    </row>
    <row r="183">
      <c r="H183" s="16"/>
    </row>
    <row r="184">
      <c r="H184" s="16"/>
    </row>
    <row r="185">
      <c r="H185" s="16"/>
    </row>
    <row r="186">
      <c r="H186" s="16"/>
    </row>
    <row r="187">
      <c r="H187" s="16"/>
    </row>
    <row r="188">
      <c r="H188" s="16"/>
    </row>
    <row r="189">
      <c r="H189" s="16"/>
    </row>
    <row r="190">
      <c r="H190" s="16"/>
    </row>
    <row r="191">
      <c r="H191" s="16"/>
    </row>
    <row r="192">
      <c r="H192" s="16"/>
    </row>
    <row r="193">
      <c r="H193" s="16"/>
    </row>
    <row r="194">
      <c r="H194" s="16"/>
    </row>
    <row r="195">
      <c r="H195" s="16"/>
    </row>
    <row r="196">
      <c r="H196" s="16"/>
    </row>
    <row r="197">
      <c r="H197" s="16"/>
    </row>
    <row r="198">
      <c r="H198" s="16"/>
    </row>
    <row r="199">
      <c r="H199" s="16"/>
    </row>
    <row r="200">
      <c r="H200" s="16"/>
    </row>
    <row r="201">
      <c r="H201" s="16"/>
    </row>
    <row r="202">
      <c r="H202" s="16"/>
    </row>
    <row r="203">
      <c r="H203" s="16"/>
    </row>
    <row r="204">
      <c r="H204" s="16"/>
    </row>
    <row r="205">
      <c r="H205" s="16"/>
    </row>
    <row r="206">
      <c r="H206" s="16"/>
    </row>
    <row r="207">
      <c r="H207" s="16"/>
    </row>
    <row r="208">
      <c r="H208" s="16"/>
    </row>
    <row r="209">
      <c r="H209" s="16"/>
    </row>
    <row r="210">
      <c r="H210" s="16"/>
    </row>
    <row r="211">
      <c r="H211" s="16"/>
    </row>
    <row r="212">
      <c r="H212" s="16"/>
    </row>
    <row r="213">
      <c r="H213" s="16"/>
    </row>
    <row r="214">
      <c r="H214" s="16"/>
    </row>
    <row r="215">
      <c r="H215" s="16"/>
    </row>
    <row r="216">
      <c r="H216" s="16"/>
    </row>
    <row r="217">
      <c r="H217" s="16"/>
    </row>
    <row r="218">
      <c r="H218" s="16"/>
    </row>
    <row r="219">
      <c r="H219" s="16"/>
    </row>
    <row r="220">
      <c r="H220" s="16"/>
    </row>
    <row r="221">
      <c r="H221" s="16"/>
    </row>
    <row r="222">
      <c r="H222" s="16"/>
    </row>
    <row r="223">
      <c r="H223" s="16"/>
    </row>
    <row r="224">
      <c r="H224" s="16"/>
    </row>
    <row r="225">
      <c r="H225" s="16"/>
    </row>
    <row r="226">
      <c r="H226" s="16"/>
    </row>
    <row r="227">
      <c r="H227" s="16"/>
    </row>
    <row r="228">
      <c r="H228" s="16"/>
    </row>
    <row r="229">
      <c r="H229" s="16"/>
    </row>
    <row r="230">
      <c r="H230" s="16"/>
    </row>
    <row r="231">
      <c r="H231" s="16"/>
    </row>
    <row r="232">
      <c r="H232" s="16"/>
    </row>
    <row r="233">
      <c r="H233" s="16"/>
    </row>
    <row r="234">
      <c r="H234" s="16"/>
    </row>
    <row r="235">
      <c r="H235" s="16"/>
    </row>
    <row r="236">
      <c r="H236" s="16"/>
    </row>
    <row r="237">
      <c r="H237" s="16"/>
    </row>
    <row r="238">
      <c r="H238" s="16"/>
    </row>
    <row r="239">
      <c r="H239" s="16"/>
    </row>
    <row r="240">
      <c r="H240" s="16"/>
    </row>
    <row r="241">
      <c r="H241" s="16"/>
    </row>
    <row r="242">
      <c r="H242" s="16"/>
    </row>
    <row r="243">
      <c r="H243" s="16"/>
    </row>
    <row r="244">
      <c r="H244" s="16"/>
    </row>
    <row r="245">
      <c r="H245" s="16"/>
    </row>
    <row r="246">
      <c r="H246" s="16"/>
    </row>
    <row r="247">
      <c r="H247" s="16"/>
    </row>
    <row r="248">
      <c r="H248" s="16"/>
    </row>
    <row r="249">
      <c r="H249" s="16"/>
    </row>
    <row r="250">
      <c r="H250" s="16"/>
    </row>
    <row r="251">
      <c r="H251" s="16"/>
    </row>
    <row r="252">
      <c r="H252" s="16"/>
    </row>
    <row r="253">
      <c r="H253" s="16"/>
    </row>
    <row r="254">
      <c r="H254" s="16"/>
    </row>
    <row r="255">
      <c r="H255" s="16"/>
    </row>
    <row r="256">
      <c r="H256" s="16"/>
    </row>
    <row r="257">
      <c r="H257" s="16"/>
    </row>
    <row r="258">
      <c r="H258" s="16"/>
    </row>
    <row r="259">
      <c r="H259" s="16"/>
    </row>
    <row r="260">
      <c r="H260" s="16"/>
    </row>
    <row r="261">
      <c r="H261" s="16"/>
    </row>
    <row r="262">
      <c r="H262" s="16"/>
    </row>
    <row r="263">
      <c r="H263" s="16"/>
    </row>
    <row r="264">
      <c r="H264" s="16"/>
    </row>
    <row r="265">
      <c r="H265" s="16"/>
    </row>
    <row r="266">
      <c r="H266" s="16"/>
    </row>
    <row r="267">
      <c r="H267" s="16"/>
    </row>
    <row r="268">
      <c r="H268" s="16"/>
    </row>
    <row r="269">
      <c r="H269" s="16"/>
    </row>
    <row r="270">
      <c r="H270" s="16"/>
    </row>
    <row r="271">
      <c r="H271" s="16"/>
    </row>
    <row r="272">
      <c r="H272" s="16"/>
    </row>
    <row r="273">
      <c r="H273" s="16"/>
    </row>
    <row r="274">
      <c r="H274" s="16"/>
    </row>
    <row r="275">
      <c r="H275" s="16"/>
    </row>
    <row r="276">
      <c r="H276" s="16"/>
    </row>
    <row r="277">
      <c r="H277" s="16"/>
    </row>
    <row r="278">
      <c r="H278" s="16"/>
    </row>
    <row r="279">
      <c r="H279" s="16"/>
    </row>
    <row r="280">
      <c r="H280" s="16"/>
    </row>
    <row r="281">
      <c r="H281" s="16"/>
    </row>
    <row r="282">
      <c r="H282" s="16"/>
    </row>
    <row r="283">
      <c r="H283" s="16"/>
    </row>
    <row r="284">
      <c r="H284" s="16"/>
    </row>
    <row r="285">
      <c r="H285" s="16"/>
    </row>
    <row r="286">
      <c r="H286" s="16"/>
    </row>
    <row r="287">
      <c r="H287" s="16"/>
    </row>
    <row r="288">
      <c r="H288" s="16"/>
    </row>
    <row r="289">
      <c r="H289" s="16"/>
    </row>
    <row r="290">
      <c r="H290" s="16"/>
    </row>
    <row r="291">
      <c r="H291" s="16"/>
    </row>
    <row r="292">
      <c r="H292" s="16"/>
    </row>
    <row r="293">
      <c r="H293" s="16"/>
    </row>
    <row r="294">
      <c r="H294" s="16"/>
    </row>
    <row r="295">
      <c r="H295" s="16"/>
    </row>
    <row r="296">
      <c r="H296" s="16"/>
    </row>
    <row r="297">
      <c r="H297" s="16"/>
    </row>
    <row r="298">
      <c r="H298" s="16"/>
    </row>
    <row r="299">
      <c r="H299" s="16"/>
    </row>
    <row r="300">
      <c r="H300" s="16"/>
    </row>
    <row r="301">
      <c r="H301" s="16"/>
    </row>
    <row r="302">
      <c r="H302" s="16"/>
    </row>
    <row r="303">
      <c r="H303" s="16"/>
    </row>
    <row r="304">
      <c r="H304" s="16"/>
    </row>
    <row r="305">
      <c r="H305" s="16"/>
    </row>
    <row r="306">
      <c r="H306" s="16"/>
    </row>
    <row r="307">
      <c r="H307" s="16"/>
    </row>
    <row r="308">
      <c r="H308" s="16"/>
    </row>
    <row r="309">
      <c r="H309" s="16"/>
    </row>
    <row r="310">
      <c r="H310" s="16"/>
    </row>
    <row r="311">
      <c r="H311" s="16"/>
    </row>
    <row r="312">
      <c r="H312" s="16"/>
    </row>
    <row r="313">
      <c r="H313" s="16"/>
    </row>
    <row r="314">
      <c r="H314" s="16"/>
    </row>
    <row r="315">
      <c r="H315" s="16"/>
    </row>
    <row r="316">
      <c r="H316" s="16"/>
    </row>
    <row r="317">
      <c r="H317" s="16"/>
    </row>
    <row r="318">
      <c r="H318" s="16"/>
    </row>
    <row r="319">
      <c r="H319" s="16"/>
    </row>
    <row r="320">
      <c r="H320" s="16"/>
    </row>
    <row r="321">
      <c r="H321" s="16"/>
    </row>
    <row r="322">
      <c r="H322" s="16"/>
    </row>
    <row r="323">
      <c r="H323" s="16"/>
    </row>
    <row r="324">
      <c r="H324" s="16"/>
    </row>
    <row r="325">
      <c r="H325" s="16"/>
    </row>
    <row r="326">
      <c r="H326" s="16"/>
    </row>
    <row r="327">
      <c r="H327" s="16"/>
    </row>
    <row r="328">
      <c r="H328" s="16"/>
    </row>
    <row r="329">
      <c r="H329" s="16"/>
    </row>
    <row r="330">
      <c r="H330" s="16"/>
    </row>
    <row r="331">
      <c r="H331" s="16"/>
    </row>
    <row r="332">
      <c r="H332" s="16"/>
    </row>
    <row r="333">
      <c r="H333" s="16"/>
    </row>
    <row r="334">
      <c r="H334" s="16"/>
    </row>
    <row r="335">
      <c r="H335" s="16"/>
    </row>
    <row r="336">
      <c r="H336" s="16"/>
    </row>
    <row r="337">
      <c r="H337" s="16"/>
    </row>
    <row r="338">
      <c r="H338" s="16"/>
    </row>
    <row r="339">
      <c r="H339" s="16"/>
    </row>
    <row r="340">
      <c r="H340" s="16"/>
    </row>
    <row r="341">
      <c r="H341" s="16"/>
    </row>
    <row r="342">
      <c r="H342" s="16"/>
    </row>
    <row r="343">
      <c r="H343" s="16"/>
    </row>
    <row r="344">
      <c r="H344" s="16"/>
    </row>
    <row r="345">
      <c r="H345" s="16"/>
    </row>
    <row r="346">
      <c r="H346" s="16"/>
    </row>
    <row r="347">
      <c r="H347" s="16"/>
    </row>
    <row r="348">
      <c r="H348" s="16"/>
    </row>
    <row r="349">
      <c r="H349" s="16"/>
    </row>
    <row r="350">
      <c r="H350" s="16"/>
    </row>
    <row r="351">
      <c r="H351" s="16"/>
    </row>
    <row r="352">
      <c r="H352" s="16"/>
    </row>
    <row r="353">
      <c r="H353" s="16"/>
    </row>
    <row r="354">
      <c r="H354" s="16"/>
    </row>
    <row r="355">
      <c r="H355" s="16"/>
    </row>
    <row r="356">
      <c r="H356" s="16"/>
    </row>
    <row r="357">
      <c r="H357" s="16"/>
    </row>
    <row r="358">
      <c r="H358" s="16"/>
    </row>
    <row r="359">
      <c r="H359" s="16"/>
    </row>
    <row r="360">
      <c r="H360" s="16"/>
    </row>
    <row r="361">
      <c r="H361" s="16"/>
    </row>
    <row r="362">
      <c r="H362" s="16"/>
    </row>
    <row r="363">
      <c r="H363" s="16"/>
    </row>
    <row r="364">
      <c r="H364" s="16"/>
    </row>
    <row r="365">
      <c r="H365" s="16"/>
    </row>
    <row r="366">
      <c r="H366" s="16"/>
    </row>
    <row r="367">
      <c r="H367" s="16"/>
    </row>
    <row r="368">
      <c r="H368" s="16"/>
    </row>
    <row r="369">
      <c r="H369" s="16"/>
    </row>
    <row r="370">
      <c r="H370" s="16"/>
    </row>
    <row r="371">
      <c r="H371" s="16"/>
    </row>
    <row r="372">
      <c r="H372" s="16"/>
    </row>
    <row r="373">
      <c r="H373" s="16"/>
    </row>
    <row r="374">
      <c r="H374" s="16"/>
    </row>
    <row r="375">
      <c r="H375" s="16"/>
    </row>
    <row r="376">
      <c r="H376" s="16"/>
    </row>
    <row r="377">
      <c r="H377" s="16"/>
    </row>
    <row r="378">
      <c r="H378" s="16"/>
    </row>
    <row r="379">
      <c r="H379" s="16"/>
    </row>
    <row r="380">
      <c r="H380" s="16"/>
    </row>
    <row r="381">
      <c r="H381" s="16"/>
    </row>
    <row r="382">
      <c r="H382" s="16"/>
    </row>
    <row r="383">
      <c r="H383" s="16"/>
    </row>
    <row r="384">
      <c r="H384" s="16"/>
    </row>
    <row r="385">
      <c r="H385" s="16"/>
    </row>
    <row r="386">
      <c r="H386" s="16"/>
    </row>
    <row r="387">
      <c r="H387" s="16"/>
    </row>
    <row r="388">
      <c r="H388" s="16"/>
    </row>
    <row r="389">
      <c r="H389" s="16"/>
    </row>
    <row r="390">
      <c r="H390" s="16"/>
    </row>
    <row r="391">
      <c r="H391" s="16"/>
    </row>
    <row r="392">
      <c r="H392" s="16"/>
    </row>
    <row r="393">
      <c r="H393" s="16"/>
    </row>
    <row r="394">
      <c r="H394" s="16"/>
    </row>
    <row r="395">
      <c r="H395" s="16"/>
    </row>
    <row r="396">
      <c r="H396" s="16"/>
    </row>
    <row r="397">
      <c r="H397" s="16"/>
    </row>
    <row r="398">
      <c r="H398" s="16"/>
    </row>
    <row r="399">
      <c r="H399" s="16"/>
    </row>
    <row r="400">
      <c r="H400" s="16"/>
    </row>
    <row r="401">
      <c r="H401" s="16"/>
    </row>
    <row r="402">
      <c r="H402" s="16"/>
    </row>
    <row r="403">
      <c r="H403" s="16"/>
    </row>
    <row r="404">
      <c r="H404" s="16"/>
    </row>
    <row r="405">
      <c r="H405" s="16"/>
    </row>
    <row r="406">
      <c r="H406" s="16"/>
    </row>
    <row r="407">
      <c r="H407" s="16"/>
    </row>
    <row r="408">
      <c r="H408" s="16"/>
    </row>
    <row r="409">
      <c r="H409" s="16"/>
    </row>
    <row r="410">
      <c r="H410" s="16"/>
    </row>
    <row r="411">
      <c r="H411" s="16"/>
    </row>
    <row r="412">
      <c r="H412" s="16"/>
    </row>
    <row r="413">
      <c r="H413" s="16"/>
    </row>
    <row r="414">
      <c r="H414" s="16"/>
    </row>
    <row r="415">
      <c r="H415" s="16"/>
    </row>
    <row r="416">
      <c r="H416" s="16"/>
    </row>
    <row r="417">
      <c r="H417" s="16"/>
    </row>
    <row r="418">
      <c r="H418" s="16"/>
    </row>
    <row r="419">
      <c r="H419" s="16"/>
    </row>
    <row r="420">
      <c r="H420" s="16"/>
    </row>
    <row r="421">
      <c r="H421" s="16"/>
    </row>
    <row r="422">
      <c r="H422" s="16"/>
    </row>
    <row r="423">
      <c r="H423" s="16"/>
    </row>
    <row r="424">
      <c r="H424" s="16"/>
    </row>
    <row r="425">
      <c r="H425" s="16"/>
    </row>
    <row r="426">
      <c r="H426" s="16"/>
    </row>
    <row r="427">
      <c r="H427" s="16"/>
    </row>
    <row r="428">
      <c r="H428" s="16"/>
    </row>
    <row r="429">
      <c r="H429" s="16"/>
    </row>
    <row r="430">
      <c r="H430" s="16"/>
    </row>
    <row r="431">
      <c r="H431" s="16"/>
    </row>
    <row r="432">
      <c r="H432" s="16"/>
    </row>
    <row r="433">
      <c r="H433" s="16"/>
    </row>
    <row r="434">
      <c r="H434" s="16"/>
    </row>
    <row r="435">
      <c r="H435" s="16"/>
    </row>
    <row r="436">
      <c r="H436" s="16"/>
    </row>
    <row r="437">
      <c r="H437" s="16"/>
    </row>
    <row r="438">
      <c r="H438" s="16"/>
    </row>
    <row r="439">
      <c r="H439" s="16"/>
    </row>
    <row r="440">
      <c r="H440" s="16"/>
    </row>
    <row r="441">
      <c r="H441" s="16"/>
    </row>
    <row r="442">
      <c r="H442" s="16"/>
    </row>
    <row r="443">
      <c r="H443" s="16"/>
    </row>
    <row r="444">
      <c r="H444" s="16"/>
    </row>
    <row r="445">
      <c r="H445" s="16"/>
    </row>
    <row r="446">
      <c r="H446" s="16"/>
    </row>
    <row r="447">
      <c r="H447" s="16"/>
    </row>
    <row r="448">
      <c r="H448" s="16"/>
    </row>
    <row r="449">
      <c r="H449" s="16"/>
    </row>
    <row r="450">
      <c r="H450" s="16"/>
    </row>
    <row r="451">
      <c r="H451" s="16"/>
    </row>
    <row r="452">
      <c r="H452" s="16"/>
    </row>
    <row r="453">
      <c r="H453" s="16"/>
    </row>
    <row r="454">
      <c r="H454" s="16"/>
    </row>
    <row r="455">
      <c r="H455" s="16"/>
    </row>
    <row r="456">
      <c r="H456" s="16"/>
    </row>
    <row r="457">
      <c r="H457" s="16"/>
    </row>
    <row r="458">
      <c r="H458" s="16"/>
    </row>
    <row r="459">
      <c r="H459" s="16"/>
    </row>
    <row r="460">
      <c r="H460" s="16"/>
    </row>
    <row r="461">
      <c r="H461" s="16"/>
    </row>
    <row r="462">
      <c r="H462" s="16"/>
    </row>
    <row r="463">
      <c r="H463" s="16"/>
    </row>
    <row r="464">
      <c r="H464" s="16"/>
    </row>
    <row r="465">
      <c r="H465" s="16"/>
    </row>
    <row r="466">
      <c r="H466" s="16"/>
    </row>
    <row r="467">
      <c r="H467" s="16"/>
    </row>
    <row r="468">
      <c r="H468" s="16"/>
    </row>
    <row r="469">
      <c r="H469" s="16"/>
    </row>
    <row r="470">
      <c r="H470" s="16"/>
    </row>
    <row r="471">
      <c r="H471" s="16"/>
    </row>
    <row r="472">
      <c r="H472" s="16"/>
    </row>
    <row r="473">
      <c r="H473" s="16"/>
    </row>
    <row r="474">
      <c r="H474" s="16"/>
    </row>
    <row r="475">
      <c r="H475" s="16"/>
    </row>
    <row r="476">
      <c r="H476" s="16"/>
    </row>
    <row r="477">
      <c r="H477" s="16"/>
    </row>
    <row r="478">
      <c r="H478" s="16"/>
    </row>
    <row r="479">
      <c r="H479" s="16"/>
    </row>
    <row r="480">
      <c r="H480" s="16"/>
    </row>
    <row r="481">
      <c r="H481" s="16"/>
    </row>
    <row r="482">
      <c r="H482" s="16"/>
    </row>
    <row r="483">
      <c r="H483" s="16"/>
    </row>
    <row r="484">
      <c r="H484" s="16"/>
    </row>
    <row r="485">
      <c r="H485" s="16"/>
    </row>
    <row r="486">
      <c r="H486" s="16"/>
    </row>
    <row r="487">
      <c r="H487" s="16"/>
    </row>
    <row r="488">
      <c r="H488" s="16"/>
    </row>
    <row r="489">
      <c r="H489" s="16"/>
    </row>
    <row r="490">
      <c r="H490" s="16"/>
    </row>
    <row r="491">
      <c r="H491" s="16"/>
    </row>
    <row r="492">
      <c r="H492" s="16"/>
    </row>
    <row r="493">
      <c r="H493" s="16"/>
    </row>
    <row r="494">
      <c r="H494" s="16"/>
    </row>
    <row r="495">
      <c r="H495" s="16"/>
    </row>
    <row r="496">
      <c r="H496" s="16"/>
    </row>
    <row r="497">
      <c r="H497" s="16"/>
    </row>
    <row r="498">
      <c r="H498" s="16"/>
    </row>
    <row r="499">
      <c r="H499" s="16"/>
    </row>
    <row r="500">
      <c r="H500" s="16"/>
    </row>
    <row r="501">
      <c r="H501" s="16"/>
    </row>
    <row r="502">
      <c r="H502" s="16"/>
    </row>
    <row r="503">
      <c r="H503" s="16"/>
    </row>
    <row r="504">
      <c r="H504" s="16"/>
    </row>
    <row r="505">
      <c r="H505" s="16"/>
    </row>
    <row r="506">
      <c r="H506" s="16"/>
    </row>
    <row r="507">
      <c r="H507" s="16"/>
    </row>
    <row r="508">
      <c r="H508" s="16"/>
    </row>
    <row r="509">
      <c r="H509" s="16"/>
    </row>
    <row r="510">
      <c r="H510" s="16"/>
    </row>
    <row r="511">
      <c r="H511" s="16"/>
    </row>
    <row r="512">
      <c r="H512" s="16"/>
    </row>
    <row r="513">
      <c r="H513" s="16"/>
    </row>
    <row r="514">
      <c r="H514" s="16"/>
    </row>
    <row r="515">
      <c r="H515" s="16"/>
    </row>
    <row r="516">
      <c r="H516" s="16"/>
    </row>
    <row r="517">
      <c r="H517" s="16"/>
    </row>
    <row r="518">
      <c r="H518" s="16"/>
    </row>
    <row r="519">
      <c r="H519" s="16"/>
    </row>
    <row r="520">
      <c r="H520" s="16"/>
    </row>
    <row r="521">
      <c r="H521" s="16"/>
    </row>
    <row r="522">
      <c r="H522" s="16"/>
    </row>
    <row r="523">
      <c r="H523" s="16"/>
    </row>
    <row r="524">
      <c r="H524" s="16"/>
    </row>
    <row r="525">
      <c r="H525" s="16"/>
    </row>
    <row r="526">
      <c r="H526" s="16"/>
    </row>
    <row r="527">
      <c r="H527" s="16"/>
    </row>
    <row r="528">
      <c r="H528" s="16"/>
    </row>
    <row r="529">
      <c r="H529" s="16"/>
    </row>
    <row r="530">
      <c r="H530" s="16"/>
    </row>
    <row r="531">
      <c r="H531" s="16"/>
    </row>
    <row r="532">
      <c r="H532" s="16"/>
    </row>
    <row r="533">
      <c r="H533" s="16"/>
    </row>
    <row r="534">
      <c r="H534" s="16"/>
    </row>
    <row r="535">
      <c r="H535" s="16"/>
    </row>
    <row r="536">
      <c r="H536" s="16"/>
    </row>
    <row r="537">
      <c r="H537" s="16"/>
    </row>
    <row r="538">
      <c r="H538" s="16"/>
    </row>
    <row r="539">
      <c r="H539" s="16"/>
    </row>
    <row r="540">
      <c r="H540" s="16"/>
    </row>
    <row r="541">
      <c r="H541" s="16"/>
    </row>
    <row r="542">
      <c r="H542" s="16"/>
    </row>
    <row r="543">
      <c r="H543" s="16"/>
    </row>
    <row r="544">
      <c r="H544" s="16"/>
    </row>
    <row r="545">
      <c r="H545" s="16"/>
    </row>
    <row r="546">
      <c r="H546" s="16"/>
    </row>
    <row r="547">
      <c r="H547" s="16"/>
    </row>
    <row r="548">
      <c r="H548" s="16"/>
    </row>
    <row r="549">
      <c r="H549" s="16"/>
    </row>
    <row r="550">
      <c r="H550" s="16"/>
    </row>
    <row r="551">
      <c r="H551" s="16"/>
    </row>
    <row r="552">
      <c r="H552" s="16"/>
    </row>
    <row r="553">
      <c r="H553" s="16"/>
    </row>
    <row r="554">
      <c r="H554" s="16"/>
    </row>
    <row r="555">
      <c r="H555" s="16"/>
    </row>
    <row r="556">
      <c r="H556" s="16"/>
    </row>
    <row r="557">
      <c r="H557" s="16"/>
    </row>
    <row r="558">
      <c r="H558" s="16"/>
    </row>
    <row r="559">
      <c r="H559" s="16"/>
    </row>
    <row r="560">
      <c r="H560" s="16"/>
    </row>
    <row r="561">
      <c r="H561" s="16"/>
    </row>
    <row r="562">
      <c r="H562" s="16"/>
    </row>
    <row r="563">
      <c r="H563" s="16"/>
    </row>
    <row r="564">
      <c r="H564" s="16"/>
    </row>
    <row r="565">
      <c r="H565" s="16"/>
    </row>
    <row r="566">
      <c r="H566" s="16"/>
    </row>
    <row r="567">
      <c r="H567" s="16"/>
    </row>
    <row r="568">
      <c r="H568" s="16"/>
    </row>
    <row r="569">
      <c r="H569" s="16"/>
    </row>
    <row r="570">
      <c r="H570" s="16"/>
    </row>
    <row r="571">
      <c r="H571" s="16"/>
    </row>
    <row r="572">
      <c r="H572" s="16"/>
    </row>
    <row r="573">
      <c r="H573" s="16"/>
    </row>
    <row r="574">
      <c r="H574" s="16"/>
    </row>
    <row r="575">
      <c r="H575" s="16"/>
    </row>
    <row r="576">
      <c r="H576" s="16"/>
    </row>
    <row r="577">
      <c r="H577" s="16"/>
    </row>
    <row r="578">
      <c r="H578" s="16"/>
    </row>
    <row r="579">
      <c r="H579" s="16"/>
    </row>
    <row r="580">
      <c r="H580" s="16"/>
    </row>
    <row r="581">
      <c r="H581" s="16"/>
    </row>
    <row r="582">
      <c r="H582" s="16"/>
    </row>
    <row r="583">
      <c r="H583" s="16"/>
    </row>
    <row r="584">
      <c r="H584" s="16"/>
    </row>
    <row r="585">
      <c r="H585" s="16"/>
    </row>
    <row r="586">
      <c r="H586" s="16"/>
    </row>
    <row r="587">
      <c r="H587" s="16"/>
    </row>
    <row r="588">
      <c r="H588" s="16"/>
    </row>
    <row r="589">
      <c r="H589" s="16"/>
    </row>
    <row r="590">
      <c r="H590" s="16"/>
    </row>
    <row r="591">
      <c r="H591" s="16"/>
    </row>
    <row r="592">
      <c r="H592" s="16"/>
    </row>
    <row r="593">
      <c r="H593" s="16"/>
    </row>
    <row r="594">
      <c r="H594" s="16"/>
    </row>
    <row r="595">
      <c r="H595" s="16"/>
    </row>
    <row r="596">
      <c r="H596" s="16"/>
    </row>
    <row r="597">
      <c r="H597" s="16"/>
    </row>
    <row r="598">
      <c r="H598" s="16"/>
    </row>
    <row r="599">
      <c r="H599" s="16"/>
    </row>
    <row r="600">
      <c r="H600" s="16"/>
    </row>
    <row r="601">
      <c r="H601" s="16"/>
    </row>
    <row r="602">
      <c r="H602" s="16"/>
    </row>
    <row r="603">
      <c r="H603" s="16"/>
    </row>
    <row r="604">
      <c r="H604" s="16"/>
    </row>
    <row r="605">
      <c r="H605" s="16"/>
    </row>
    <row r="606">
      <c r="H606" s="16"/>
    </row>
    <row r="607">
      <c r="H607" s="16"/>
    </row>
    <row r="608">
      <c r="H608" s="16"/>
    </row>
    <row r="609">
      <c r="H609" s="16"/>
    </row>
    <row r="610">
      <c r="H610" s="16"/>
    </row>
    <row r="611">
      <c r="H611" s="16"/>
    </row>
    <row r="612">
      <c r="H612" s="16"/>
    </row>
    <row r="613">
      <c r="H613" s="16"/>
    </row>
    <row r="614">
      <c r="H614" s="16"/>
    </row>
    <row r="615">
      <c r="H615" s="16"/>
    </row>
    <row r="616">
      <c r="H616" s="16"/>
    </row>
    <row r="617">
      <c r="H617" s="16"/>
    </row>
    <row r="618">
      <c r="H618" s="16"/>
    </row>
    <row r="619">
      <c r="H619" s="16"/>
    </row>
    <row r="620">
      <c r="H620" s="16"/>
    </row>
    <row r="621">
      <c r="H621" s="16"/>
    </row>
    <row r="622">
      <c r="H622" s="16"/>
    </row>
    <row r="623">
      <c r="H623" s="16"/>
    </row>
    <row r="624">
      <c r="H624" s="16"/>
    </row>
    <row r="625">
      <c r="H625" s="16"/>
    </row>
    <row r="626">
      <c r="H626" s="16"/>
    </row>
    <row r="627">
      <c r="H627" s="16"/>
    </row>
    <row r="628">
      <c r="H628" s="16"/>
    </row>
    <row r="629">
      <c r="H629" s="16"/>
    </row>
    <row r="630">
      <c r="H630" s="16"/>
    </row>
    <row r="631">
      <c r="H631" s="16"/>
    </row>
    <row r="632">
      <c r="H632" s="16"/>
    </row>
    <row r="633">
      <c r="H633" s="16"/>
    </row>
    <row r="634">
      <c r="H634" s="16"/>
    </row>
    <row r="635">
      <c r="H635" s="16"/>
    </row>
    <row r="636">
      <c r="H636" s="16"/>
    </row>
    <row r="637">
      <c r="H637" s="16"/>
    </row>
    <row r="638">
      <c r="H638" s="16"/>
    </row>
    <row r="639">
      <c r="H639" s="16"/>
    </row>
    <row r="640">
      <c r="H640" s="16"/>
    </row>
    <row r="641">
      <c r="H641" s="16"/>
    </row>
    <row r="642">
      <c r="H642" s="16"/>
    </row>
    <row r="643">
      <c r="H643" s="16"/>
    </row>
    <row r="644">
      <c r="H644" s="16"/>
    </row>
    <row r="645">
      <c r="H645" s="16"/>
    </row>
    <row r="646">
      <c r="H646" s="16"/>
    </row>
    <row r="647">
      <c r="H647" s="16"/>
    </row>
    <row r="648">
      <c r="H648" s="16"/>
    </row>
    <row r="649">
      <c r="H649" s="16"/>
    </row>
    <row r="650">
      <c r="H650" s="16"/>
    </row>
    <row r="651">
      <c r="H651" s="16"/>
    </row>
    <row r="652">
      <c r="H652" s="16"/>
    </row>
    <row r="653">
      <c r="H653" s="16"/>
    </row>
    <row r="654">
      <c r="H654" s="16"/>
    </row>
    <row r="655">
      <c r="H655" s="16"/>
    </row>
    <row r="656">
      <c r="H656" s="16"/>
    </row>
    <row r="657">
      <c r="H657" s="16"/>
    </row>
    <row r="658">
      <c r="H658" s="16"/>
    </row>
    <row r="659">
      <c r="H659" s="16"/>
    </row>
    <row r="660">
      <c r="H660" s="16"/>
    </row>
    <row r="661">
      <c r="H661" s="16"/>
    </row>
    <row r="662">
      <c r="H662" s="16"/>
    </row>
    <row r="663">
      <c r="H663" s="16"/>
    </row>
    <row r="664">
      <c r="H664" s="16"/>
    </row>
    <row r="665">
      <c r="H665" s="16"/>
    </row>
    <row r="666">
      <c r="H666" s="16"/>
    </row>
    <row r="667">
      <c r="H667" s="16"/>
    </row>
    <row r="668">
      <c r="H668" s="16"/>
    </row>
    <row r="669">
      <c r="H669" s="16"/>
    </row>
    <row r="670">
      <c r="H670" s="16"/>
    </row>
    <row r="671">
      <c r="H671" s="16"/>
    </row>
    <row r="672">
      <c r="H672" s="16"/>
    </row>
    <row r="673">
      <c r="H673" s="16"/>
    </row>
    <row r="674">
      <c r="H674" s="16"/>
    </row>
    <row r="675">
      <c r="H675" s="16"/>
    </row>
    <row r="676">
      <c r="H676" s="16"/>
    </row>
    <row r="677">
      <c r="H677" s="16"/>
    </row>
    <row r="678">
      <c r="H678" s="16"/>
    </row>
    <row r="679">
      <c r="H679" s="16"/>
    </row>
    <row r="680">
      <c r="H680" s="16"/>
    </row>
    <row r="681">
      <c r="H681" s="16"/>
    </row>
    <row r="682">
      <c r="H682" s="16"/>
    </row>
    <row r="683">
      <c r="H683" s="16"/>
    </row>
    <row r="684">
      <c r="H684" s="16"/>
    </row>
    <row r="685">
      <c r="H685" s="16"/>
    </row>
    <row r="686">
      <c r="H686" s="16"/>
    </row>
    <row r="687">
      <c r="H687" s="16"/>
    </row>
    <row r="688">
      <c r="H688" s="16"/>
    </row>
    <row r="689">
      <c r="H689" s="16"/>
    </row>
    <row r="690">
      <c r="H690" s="16"/>
    </row>
    <row r="691">
      <c r="H691" s="16"/>
    </row>
    <row r="692">
      <c r="H692" s="16"/>
    </row>
    <row r="693">
      <c r="H693" s="16"/>
    </row>
    <row r="694">
      <c r="H694" s="16"/>
    </row>
    <row r="695">
      <c r="H695" s="16"/>
    </row>
    <row r="696">
      <c r="H696" s="16"/>
    </row>
    <row r="697">
      <c r="H697" s="16"/>
    </row>
    <row r="698">
      <c r="H698" s="16"/>
    </row>
    <row r="699">
      <c r="H699" s="16"/>
    </row>
    <row r="700">
      <c r="H700" s="16"/>
    </row>
    <row r="701">
      <c r="H701" s="16"/>
    </row>
    <row r="702">
      <c r="H702" s="16"/>
    </row>
    <row r="703">
      <c r="H703" s="16"/>
    </row>
    <row r="704">
      <c r="H704" s="16"/>
    </row>
    <row r="705">
      <c r="H705" s="16"/>
    </row>
    <row r="706">
      <c r="H706" s="16"/>
    </row>
    <row r="707">
      <c r="H707" s="16"/>
    </row>
    <row r="708">
      <c r="H708" s="16"/>
    </row>
    <row r="709">
      <c r="H709" s="16"/>
    </row>
    <row r="710">
      <c r="H710" s="16"/>
    </row>
    <row r="711">
      <c r="H711" s="16"/>
    </row>
    <row r="712">
      <c r="H712" s="16"/>
    </row>
    <row r="713">
      <c r="H713" s="16"/>
    </row>
    <row r="714">
      <c r="H714" s="16"/>
    </row>
    <row r="715">
      <c r="H715" s="16"/>
    </row>
    <row r="716">
      <c r="H716" s="16"/>
    </row>
    <row r="717">
      <c r="H717" s="16"/>
    </row>
    <row r="718">
      <c r="H718" s="16"/>
    </row>
    <row r="719">
      <c r="H719" s="16"/>
    </row>
    <row r="720">
      <c r="H720" s="16"/>
    </row>
    <row r="721">
      <c r="H721" s="16"/>
    </row>
    <row r="722">
      <c r="H722" s="16"/>
    </row>
    <row r="723">
      <c r="H723" s="16"/>
    </row>
    <row r="724">
      <c r="H724" s="16"/>
    </row>
    <row r="725">
      <c r="H725" s="16"/>
    </row>
    <row r="726">
      <c r="H726" s="16"/>
    </row>
    <row r="727">
      <c r="H727" s="16"/>
    </row>
    <row r="728">
      <c r="H728" s="16"/>
    </row>
    <row r="729">
      <c r="H729" s="16"/>
    </row>
    <row r="730">
      <c r="H730" s="16"/>
    </row>
    <row r="731">
      <c r="H731" s="16"/>
    </row>
    <row r="732">
      <c r="H732" s="16"/>
    </row>
    <row r="733">
      <c r="H733" s="16"/>
    </row>
    <row r="734">
      <c r="H734" s="16"/>
    </row>
    <row r="735">
      <c r="H735" s="16"/>
    </row>
    <row r="736">
      <c r="H736" s="16"/>
    </row>
    <row r="737">
      <c r="H737" s="16"/>
    </row>
    <row r="738">
      <c r="H738" s="16"/>
    </row>
    <row r="739">
      <c r="H739" s="16"/>
    </row>
    <row r="740">
      <c r="H740" s="16"/>
    </row>
    <row r="741">
      <c r="H741" s="16"/>
    </row>
    <row r="742">
      <c r="H742" s="16"/>
    </row>
    <row r="743">
      <c r="H743" s="16"/>
    </row>
    <row r="744">
      <c r="H744" s="16"/>
    </row>
    <row r="745">
      <c r="H745" s="16"/>
    </row>
    <row r="746">
      <c r="H746" s="16"/>
    </row>
    <row r="747">
      <c r="H747" s="16"/>
    </row>
    <row r="748">
      <c r="H748" s="16"/>
    </row>
    <row r="749">
      <c r="H749" s="16"/>
    </row>
    <row r="750">
      <c r="H750" s="16"/>
    </row>
    <row r="751">
      <c r="H751" s="16"/>
    </row>
    <row r="752">
      <c r="H752" s="16"/>
    </row>
    <row r="753">
      <c r="H753" s="16"/>
    </row>
    <row r="754">
      <c r="H754" s="16"/>
    </row>
    <row r="755">
      <c r="H755" s="16"/>
    </row>
    <row r="756">
      <c r="H756" s="16"/>
    </row>
    <row r="757">
      <c r="H757" s="16"/>
    </row>
    <row r="758">
      <c r="H758" s="16"/>
    </row>
    <row r="759">
      <c r="H759" s="16"/>
    </row>
    <row r="760">
      <c r="H760" s="16"/>
    </row>
    <row r="761">
      <c r="H761" s="16"/>
    </row>
    <row r="762">
      <c r="H762" s="16"/>
    </row>
    <row r="763">
      <c r="H763" s="16"/>
    </row>
    <row r="764">
      <c r="H764" s="16"/>
    </row>
    <row r="765">
      <c r="H765" s="16"/>
    </row>
    <row r="766">
      <c r="H766" s="16"/>
    </row>
    <row r="767">
      <c r="H767" s="16"/>
    </row>
    <row r="768">
      <c r="H768" s="16"/>
    </row>
    <row r="769">
      <c r="H769" s="16"/>
    </row>
    <row r="770">
      <c r="H770" s="16"/>
    </row>
    <row r="771">
      <c r="H771" s="16"/>
    </row>
    <row r="772">
      <c r="H772" s="16"/>
    </row>
    <row r="773">
      <c r="H773" s="16"/>
    </row>
    <row r="774">
      <c r="H774" s="16"/>
    </row>
    <row r="775">
      <c r="H775" s="16"/>
    </row>
    <row r="776">
      <c r="H776" s="16"/>
    </row>
    <row r="777">
      <c r="H777" s="16"/>
    </row>
    <row r="778">
      <c r="H778" s="16"/>
    </row>
    <row r="779">
      <c r="H779" s="16"/>
    </row>
    <row r="780">
      <c r="H780" s="16"/>
    </row>
    <row r="781">
      <c r="H781" s="16"/>
    </row>
    <row r="782">
      <c r="H782" s="16"/>
    </row>
    <row r="783">
      <c r="H783" s="16"/>
    </row>
    <row r="784">
      <c r="H784" s="16"/>
    </row>
    <row r="785">
      <c r="H785" s="16"/>
    </row>
    <row r="786">
      <c r="H786" s="16"/>
    </row>
    <row r="787">
      <c r="H787" s="16"/>
    </row>
    <row r="788">
      <c r="H788" s="16"/>
    </row>
    <row r="789">
      <c r="H789" s="16"/>
    </row>
    <row r="790">
      <c r="H790" s="16"/>
    </row>
    <row r="791">
      <c r="H791" s="16"/>
    </row>
    <row r="792">
      <c r="H792" s="16"/>
    </row>
    <row r="793">
      <c r="H793" s="16"/>
    </row>
    <row r="794">
      <c r="H794" s="16"/>
    </row>
    <row r="795">
      <c r="H795" s="16"/>
    </row>
    <row r="796">
      <c r="H796" s="16"/>
    </row>
    <row r="797">
      <c r="H797" s="16"/>
    </row>
    <row r="798">
      <c r="H798" s="16"/>
    </row>
    <row r="799">
      <c r="H799" s="16"/>
    </row>
    <row r="800">
      <c r="H800" s="16"/>
    </row>
    <row r="801">
      <c r="H801" s="16"/>
    </row>
    <row r="802">
      <c r="H802" s="16"/>
    </row>
    <row r="803">
      <c r="H803" s="16"/>
    </row>
    <row r="804">
      <c r="H804" s="16"/>
    </row>
    <row r="805">
      <c r="H805" s="16"/>
    </row>
    <row r="806">
      <c r="H806" s="16"/>
    </row>
    <row r="807">
      <c r="H807" s="16"/>
    </row>
    <row r="808">
      <c r="H808" s="16"/>
    </row>
    <row r="809">
      <c r="H809" s="16"/>
    </row>
    <row r="810">
      <c r="H810" s="16"/>
    </row>
    <row r="811">
      <c r="H811" s="16"/>
    </row>
    <row r="812">
      <c r="H812" s="16"/>
    </row>
    <row r="813">
      <c r="H813" s="16"/>
    </row>
    <row r="814">
      <c r="H814" s="16"/>
    </row>
    <row r="815">
      <c r="H815" s="16"/>
    </row>
    <row r="816">
      <c r="H816" s="16"/>
    </row>
    <row r="817">
      <c r="H817" s="16"/>
    </row>
    <row r="818">
      <c r="H818" s="16"/>
    </row>
    <row r="819">
      <c r="H819" s="16"/>
    </row>
    <row r="820">
      <c r="H820" s="16"/>
    </row>
    <row r="821">
      <c r="H821" s="16"/>
    </row>
    <row r="822">
      <c r="H822" s="16"/>
    </row>
    <row r="823">
      <c r="H823" s="16"/>
    </row>
    <row r="824">
      <c r="H824" s="16"/>
    </row>
    <row r="825">
      <c r="H825" s="16"/>
    </row>
    <row r="826">
      <c r="H826" s="16"/>
    </row>
    <row r="827">
      <c r="H827" s="16"/>
    </row>
    <row r="828">
      <c r="H828" s="16"/>
    </row>
    <row r="829">
      <c r="H829" s="16"/>
    </row>
    <row r="830">
      <c r="H830" s="16"/>
    </row>
    <row r="831">
      <c r="H831" s="16"/>
    </row>
    <row r="832">
      <c r="H832" s="16"/>
    </row>
    <row r="833">
      <c r="H833" s="16"/>
    </row>
    <row r="834">
      <c r="H834" s="16"/>
    </row>
    <row r="835">
      <c r="H835" s="16"/>
    </row>
    <row r="836">
      <c r="H836" s="16"/>
    </row>
    <row r="837">
      <c r="H837" s="16"/>
    </row>
    <row r="838">
      <c r="H838" s="16"/>
    </row>
    <row r="839">
      <c r="H839" s="16"/>
    </row>
    <row r="840">
      <c r="H840" s="16"/>
    </row>
    <row r="841">
      <c r="H841" s="16"/>
    </row>
    <row r="842">
      <c r="H842" s="16"/>
    </row>
    <row r="843">
      <c r="H843" s="16"/>
    </row>
    <row r="844">
      <c r="H844" s="16"/>
    </row>
    <row r="845">
      <c r="H845" s="16"/>
    </row>
    <row r="846">
      <c r="H846" s="16"/>
    </row>
    <row r="847">
      <c r="H847" s="16"/>
    </row>
    <row r="848">
      <c r="H848" s="16"/>
    </row>
    <row r="849">
      <c r="H849" s="16"/>
    </row>
    <row r="850">
      <c r="H850" s="16"/>
    </row>
    <row r="851">
      <c r="H851" s="16"/>
    </row>
    <row r="852">
      <c r="H852" s="16"/>
    </row>
    <row r="853">
      <c r="H853" s="16"/>
    </row>
    <row r="854">
      <c r="H854" s="16"/>
    </row>
    <row r="855">
      <c r="H855" s="16"/>
    </row>
    <row r="856">
      <c r="H856" s="16"/>
    </row>
    <row r="857">
      <c r="H857" s="16"/>
    </row>
    <row r="858">
      <c r="H858" s="16"/>
    </row>
    <row r="859">
      <c r="H859" s="16"/>
    </row>
    <row r="860">
      <c r="H860" s="16"/>
    </row>
    <row r="861">
      <c r="H861" s="16"/>
    </row>
    <row r="862">
      <c r="H862" s="16"/>
    </row>
    <row r="863">
      <c r="H863" s="16"/>
    </row>
    <row r="864">
      <c r="H864" s="16"/>
    </row>
    <row r="865">
      <c r="H865" s="16"/>
    </row>
    <row r="866">
      <c r="H866" s="16"/>
    </row>
    <row r="867">
      <c r="H867" s="16"/>
    </row>
    <row r="868">
      <c r="H868" s="16"/>
    </row>
    <row r="869">
      <c r="H869" s="16"/>
    </row>
    <row r="870">
      <c r="H870" s="16"/>
    </row>
    <row r="871">
      <c r="H871" s="16"/>
    </row>
    <row r="872">
      <c r="H872" s="16"/>
    </row>
    <row r="873">
      <c r="H873" s="16"/>
    </row>
    <row r="874">
      <c r="H874" s="16"/>
    </row>
    <row r="875">
      <c r="H875" s="16"/>
    </row>
    <row r="876">
      <c r="H876" s="16"/>
    </row>
    <row r="877">
      <c r="H877" s="16"/>
    </row>
    <row r="878">
      <c r="H878" s="16"/>
    </row>
    <row r="879">
      <c r="H879" s="16"/>
    </row>
    <row r="880">
      <c r="H880" s="16"/>
    </row>
    <row r="881">
      <c r="H881" s="16"/>
    </row>
    <row r="882">
      <c r="H882" s="16"/>
    </row>
    <row r="883">
      <c r="H883" s="16"/>
    </row>
    <row r="884">
      <c r="H884" s="16"/>
    </row>
    <row r="885">
      <c r="H885" s="16"/>
    </row>
    <row r="886">
      <c r="H886" s="16"/>
    </row>
    <row r="887">
      <c r="H887" s="16"/>
    </row>
    <row r="888">
      <c r="H888" s="16"/>
    </row>
    <row r="889">
      <c r="H889" s="16"/>
    </row>
    <row r="890">
      <c r="H890" s="16"/>
    </row>
    <row r="891">
      <c r="H891" s="16"/>
    </row>
    <row r="892">
      <c r="H892" s="16"/>
    </row>
    <row r="893">
      <c r="H893" s="16"/>
    </row>
    <row r="894">
      <c r="H894" s="16"/>
    </row>
    <row r="895">
      <c r="H895" s="16"/>
    </row>
    <row r="896">
      <c r="H896" s="16"/>
    </row>
    <row r="897">
      <c r="H897" s="16"/>
    </row>
    <row r="898">
      <c r="H898" s="16"/>
    </row>
    <row r="899">
      <c r="H899" s="16"/>
    </row>
    <row r="900">
      <c r="H900" s="16"/>
    </row>
    <row r="901">
      <c r="H901" s="16"/>
    </row>
    <row r="902">
      <c r="H902" s="16"/>
    </row>
    <row r="903">
      <c r="H903" s="16"/>
    </row>
    <row r="904">
      <c r="H904" s="16"/>
    </row>
    <row r="905">
      <c r="H905" s="16"/>
    </row>
    <row r="906">
      <c r="H906" s="16"/>
    </row>
    <row r="907">
      <c r="H907" s="16"/>
    </row>
    <row r="908">
      <c r="H908" s="16"/>
    </row>
    <row r="909">
      <c r="H909" s="16"/>
    </row>
    <row r="910">
      <c r="H910" s="16"/>
    </row>
    <row r="911">
      <c r="H911" s="16"/>
    </row>
    <row r="912">
      <c r="H912" s="16"/>
    </row>
    <row r="913">
      <c r="H913" s="16"/>
    </row>
    <row r="914">
      <c r="H914" s="16"/>
    </row>
    <row r="915">
      <c r="H915" s="16"/>
    </row>
    <row r="916">
      <c r="H916" s="16"/>
    </row>
    <row r="917">
      <c r="H917" s="16"/>
    </row>
    <row r="918">
      <c r="H918" s="16"/>
    </row>
    <row r="919">
      <c r="H919" s="16"/>
    </row>
    <row r="920">
      <c r="H920" s="16"/>
    </row>
    <row r="921">
      <c r="H921" s="16"/>
    </row>
    <row r="922">
      <c r="H922" s="16"/>
    </row>
    <row r="923">
      <c r="H923" s="16"/>
    </row>
    <row r="924">
      <c r="H924" s="16"/>
    </row>
    <row r="925">
      <c r="H925" s="16"/>
    </row>
    <row r="926">
      <c r="H926" s="16"/>
    </row>
    <row r="927">
      <c r="H927" s="16"/>
    </row>
    <row r="928">
      <c r="H928" s="16"/>
    </row>
    <row r="929">
      <c r="H929" s="16"/>
    </row>
    <row r="930">
      <c r="H930" s="16"/>
    </row>
    <row r="931">
      <c r="H931" s="16"/>
    </row>
    <row r="932">
      <c r="H932" s="16"/>
    </row>
    <row r="933">
      <c r="H933" s="16"/>
    </row>
    <row r="934">
      <c r="H934" s="16"/>
    </row>
    <row r="935">
      <c r="H935" s="16"/>
    </row>
    <row r="936">
      <c r="H936" s="16"/>
    </row>
    <row r="937">
      <c r="H937" s="16"/>
    </row>
    <row r="938">
      <c r="H938" s="16"/>
    </row>
    <row r="939">
      <c r="H939" s="16"/>
    </row>
    <row r="940">
      <c r="H940" s="16"/>
    </row>
    <row r="941">
      <c r="H941" s="16"/>
    </row>
    <row r="942">
      <c r="H942" s="16"/>
    </row>
    <row r="943">
      <c r="H943" s="16"/>
    </row>
    <row r="944">
      <c r="H944" s="16"/>
    </row>
    <row r="945">
      <c r="H945" s="16"/>
    </row>
    <row r="946">
      <c r="H946" s="16"/>
    </row>
    <row r="947">
      <c r="H947" s="16"/>
    </row>
    <row r="948">
      <c r="H948" s="16"/>
    </row>
    <row r="949">
      <c r="H949" s="16"/>
    </row>
    <row r="950">
      <c r="H950" s="16"/>
    </row>
    <row r="951">
      <c r="H951" s="16"/>
    </row>
    <row r="952">
      <c r="H952" s="16"/>
    </row>
    <row r="953">
      <c r="H953" s="16"/>
    </row>
    <row r="954">
      <c r="H954" s="16"/>
    </row>
    <row r="955">
      <c r="H955" s="16"/>
    </row>
    <row r="956">
      <c r="H956" s="16"/>
    </row>
    <row r="957">
      <c r="H957" s="16"/>
    </row>
    <row r="958">
      <c r="H958" s="16"/>
    </row>
    <row r="959">
      <c r="H959" s="16"/>
    </row>
    <row r="960">
      <c r="H960" s="16"/>
    </row>
    <row r="961">
      <c r="H961" s="16"/>
    </row>
    <row r="962">
      <c r="H962" s="16"/>
    </row>
    <row r="963">
      <c r="H963" s="16"/>
    </row>
    <row r="964">
      <c r="H964" s="16"/>
    </row>
    <row r="965">
      <c r="H965" s="16"/>
    </row>
    <row r="966">
      <c r="H966" s="16"/>
    </row>
    <row r="967">
      <c r="H967" s="16"/>
    </row>
    <row r="968">
      <c r="H968" s="16"/>
    </row>
    <row r="969">
      <c r="H969" s="16"/>
    </row>
    <row r="970">
      <c r="H970" s="16"/>
    </row>
    <row r="971">
      <c r="H971" s="16"/>
    </row>
    <row r="972">
      <c r="H972" s="16"/>
    </row>
    <row r="973">
      <c r="H973" s="16"/>
    </row>
    <row r="974">
      <c r="H974" s="16"/>
    </row>
    <row r="975">
      <c r="H975" s="16"/>
    </row>
    <row r="976">
      <c r="H976" s="16"/>
    </row>
    <row r="977">
      <c r="H977" s="16"/>
    </row>
    <row r="978">
      <c r="H978" s="16"/>
    </row>
    <row r="979">
      <c r="H979" s="16"/>
    </row>
    <row r="980">
      <c r="H980" s="16"/>
    </row>
    <row r="981">
      <c r="H981" s="16"/>
    </row>
    <row r="982">
      <c r="H982" s="16"/>
    </row>
    <row r="983">
      <c r="H983" s="16"/>
    </row>
    <row r="984">
      <c r="H984" s="16"/>
    </row>
    <row r="985">
      <c r="H985" s="16"/>
    </row>
    <row r="986">
      <c r="H986" s="16"/>
    </row>
    <row r="987">
      <c r="H987" s="16"/>
    </row>
    <row r="988">
      <c r="H988" s="16"/>
    </row>
    <row r="989">
      <c r="H989" s="16"/>
    </row>
    <row r="990">
      <c r="H990" s="16"/>
    </row>
    <row r="991">
      <c r="H991" s="16"/>
    </row>
  </sheetData>
  <conditionalFormatting sqref="F1:F991">
    <cfRule type="expression" dxfId="6" priority="1">
      <formula>#REF!=""</formula>
    </cfRule>
  </conditionalFormatting>
  <dataValidations>
    <dataValidation type="list" allowBlank="1" showErrorMessage="1" sqref="H2:H991">
      <formula1>"Assigned,Contacted,Pending,Completed"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3" max="3" width="26.0"/>
  </cols>
  <sheetData>
    <row r="1">
      <c r="A1" s="24" t="s">
        <v>309</v>
      </c>
      <c r="B1" s="24" t="s">
        <v>310</v>
      </c>
      <c r="C1" s="24" t="s">
        <v>311</v>
      </c>
      <c r="D1" s="24" t="s">
        <v>312</v>
      </c>
      <c r="E1" s="24" t="s">
        <v>313</v>
      </c>
      <c r="F1" s="24" t="s">
        <v>314</v>
      </c>
      <c r="G1" s="24" t="s">
        <v>248</v>
      </c>
    </row>
    <row r="2">
      <c r="A2" s="24" t="s">
        <v>284</v>
      </c>
      <c r="B2" s="24" t="s">
        <v>220</v>
      </c>
      <c r="C2" s="24" t="s">
        <v>17</v>
      </c>
      <c r="D2" s="24">
        <v>7.065656041E9</v>
      </c>
      <c r="E2" s="24">
        <v>5.0</v>
      </c>
      <c r="F2" s="24">
        <v>4.0</v>
      </c>
      <c r="G2" s="24" t="s">
        <v>315</v>
      </c>
    </row>
    <row r="3">
      <c r="A3" s="24" t="s">
        <v>286</v>
      </c>
      <c r="B3" s="24" t="s">
        <v>287</v>
      </c>
      <c r="C3" s="24" t="s">
        <v>288</v>
      </c>
      <c r="D3" s="24">
        <v>8.068101622E9</v>
      </c>
      <c r="E3" s="24">
        <v>5.0</v>
      </c>
      <c r="F3" s="24">
        <v>4.0</v>
      </c>
      <c r="G3" s="24" t="s">
        <v>315</v>
      </c>
    </row>
    <row r="4">
      <c r="A4" s="24" t="s">
        <v>290</v>
      </c>
      <c r="B4" s="24" t="s">
        <v>225</v>
      </c>
      <c r="C4" s="24" t="s">
        <v>291</v>
      </c>
      <c r="D4" s="24">
        <v>8.039114028E9</v>
      </c>
      <c r="E4" s="24">
        <v>5.0</v>
      </c>
      <c r="F4" s="24">
        <v>4.0</v>
      </c>
      <c r="G4" s="24" t="s">
        <v>315</v>
      </c>
    </row>
    <row r="5">
      <c r="A5" s="24" t="s">
        <v>252</v>
      </c>
      <c r="B5" s="24" t="s">
        <v>230</v>
      </c>
      <c r="C5" s="24" t="s">
        <v>253</v>
      </c>
      <c r="D5" s="24">
        <v>7.062130531E9</v>
      </c>
      <c r="E5" s="24">
        <v>5.0</v>
      </c>
      <c r="F5" s="24">
        <v>4.0</v>
      </c>
      <c r="G5" s="24" t="s">
        <v>315</v>
      </c>
    </row>
    <row r="6">
      <c r="A6" s="24" t="s">
        <v>256</v>
      </c>
      <c r="B6" s="24" t="s">
        <v>234</v>
      </c>
      <c r="C6" s="24" t="s">
        <v>257</v>
      </c>
      <c r="D6" s="24">
        <v>9.02513736E9</v>
      </c>
      <c r="E6" s="24">
        <v>5.0</v>
      </c>
      <c r="F6" s="24">
        <v>4.0</v>
      </c>
      <c r="G6" s="24" t="s">
        <v>315</v>
      </c>
    </row>
    <row r="7">
      <c r="A7" s="24" t="s">
        <v>259</v>
      </c>
      <c r="B7" s="24" t="s">
        <v>215</v>
      </c>
      <c r="C7" s="24" t="s">
        <v>260</v>
      </c>
      <c r="D7" s="24">
        <v>9.133203309E9</v>
      </c>
      <c r="E7" s="24">
        <v>5.0</v>
      </c>
      <c r="F7" s="24">
        <v>4.0</v>
      </c>
      <c r="G7" s="24" t="s">
        <v>315</v>
      </c>
    </row>
    <row r="8">
      <c r="A8" s="24" t="s">
        <v>262</v>
      </c>
      <c r="B8" s="24" t="s">
        <v>237</v>
      </c>
      <c r="C8" s="24" t="s">
        <v>263</v>
      </c>
      <c r="D8" s="24">
        <v>9.031582189E9</v>
      </c>
      <c r="E8" s="24">
        <v>5.0</v>
      </c>
      <c r="F8" s="24">
        <v>4.0</v>
      </c>
      <c r="G8" s="24" t="s">
        <v>315</v>
      </c>
    </row>
    <row r="9">
      <c r="A9" s="24" t="s">
        <v>265</v>
      </c>
      <c r="B9" s="24" t="s">
        <v>241</v>
      </c>
      <c r="C9" s="24" t="s">
        <v>266</v>
      </c>
      <c r="D9" s="24">
        <v>8.081079642E9</v>
      </c>
      <c r="E9" s="24">
        <v>5.0</v>
      </c>
      <c r="F9" s="24">
        <v>4.0</v>
      </c>
      <c r="G9" s="24" t="s">
        <v>315</v>
      </c>
    </row>
    <row r="10">
      <c r="A10" s="24" t="s">
        <v>268</v>
      </c>
      <c r="B10" s="24" t="s">
        <v>269</v>
      </c>
      <c r="C10" s="24" t="s">
        <v>270</v>
      </c>
      <c r="D10" s="24">
        <v>8.023322989E9</v>
      </c>
      <c r="E10" s="24">
        <v>5.0</v>
      </c>
      <c r="F10" s="24">
        <v>4.0</v>
      </c>
      <c r="G10" s="24" t="s">
        <v>315</v>
      </c>
    </row>
    <row r="11">
      <c r="A11" s="24" t="s">
        <v>272</v>
      </c>
      <c r="B11" s="24" t="s">
        <v>273</v>
      </c>
      <c r="C11" s="24" t="s">
        <v>274</v>
      </c>
      <c r="D11" s="24">
        <v>8.130891137E9</v>
      </c>
      <c r="E11" s="24">
        <v>5.0</v>
      </c>
      <c r="F11" s="24">
        <v>3.0</v>
      </c>
      <c r="G11" s="24" t="s">
        <v>315</v>
      </c>
    </row>
    <row r="12">
      <c r="A12" s="24" t="s">
        <v>276</v>
      </c>
      <c r="B12" s="24" t="s">
        <v>277</v>
      </c>
      <c r="C12" s="24" t="s">
        <v>278</v>
      </c>
      <c r="D12" s="24">
        <v>8.030554007E9</v>
      </c>
      <c r="E12" s="24">
        <v>5.0</v>
      </c>
      <c r="F12" s="24">
        <v>3.0</v>
      </c>
      <c r="G12" s="24" t="s">
        <v>315</v>
      </c>
    </row>
    <row r="13">
      <c r="A13" s="24" t="s">
        <v>280</v>
      </c>
      <c r="B13" s="24" t="s">
        <v>281</v>
      </c>
      <c r="C13" s="24" t="s">
        <v>282</v>
      </c>
      <c r="D13" s="24">
        <v>7.0325936E9</v>
      </c>
      <c r="E13" s="24">
        <v>5.0</v>
      </c>
      <c r="F13" s="24">
        <v>3.0</v>
      </c>
      <c r="G13" s="24" t="s">
        <v>315</v>
      </c>
    </row>
    <row r="14">
      <c r="B14" s="16"/>
    </row>
    <row r="15">
      <c r="B15" s="16"/>
    </row>
    <row r="16">
      <c r="B16" s="16"/>
    </row>
    <row r="17">
      <c r="B17" s="16"/>
    </row>
    <row r="18">
      <c r="B18" s="16"/>
    </row>
    <row r="19">
      <c r="B19" s="16"/>
    </row>
    <row r="20">
      <c r="B20" s="16"/>
    </row>
    <row r="21">
      <c r="B21" s="16"/>
    </row>
    <row r="22">
      <c r="B22" s="16"/>
    </row>
    <row r="23">
      <c r="B23" s="16"/>
    </row>
    <row r="24">
      <c r="B24" s="16"/>
    </row>
    <row r="25">
      <c r="B25" s="16"/>
    </row>
    <row r="26">
      <c r="B26" s="16"/>
    </row>
    <row r="27">
      <c r="B27" s="16"/>
    </row>
    <row r="28">
      <c r="B28" s="16"/>
    </row>
    <row r="29">
      <c r="B29" s="16"/>
    </row>
    <row r="30">
      <c r="B30" s="16"/>
    </row>
    <row r="31">
      <c r="B31" s="16"/>
    </row>
    <row r="32">
      <c r="B32" s="16"/>
    </row>
    <row r="33">
      <c r="B33" s="16"/>
    </row>
    <row r="34">
      <c r="B34" s="16"/>
    </row>
    <row r="35">
      <c r="B35" s="16"/>
    </row>
    <row r="36">
      <c r="B36" s="16"/>
    </row>
    <row r="37">
      <c r="B37" s="16"/>
    </row>
    <row r="38">
      <c r="B38" s="16"/>
    </row>
    <row r="39">
      <c r="B39" s="16"/>
    </row>
    <row r="40">
      <c r="B40" s="16"/>
    </row>
    <row r="41">
      <c r="B41" s="16"/>
    </row>
    <row r="42">
      <c r="B42" s="16"/>
    </row>
    <row r="43">
      <c r="B43" s="16"/>
    </row>
    <row r="44">
      <c r="B44" s="16"/>
    </row>
    <row r="45">
      <c r="B45" s="16"/>
    </row>
    <row r="46">
      <c r="B46" s="16"/>
    </row>
    <row r="47">
      <c r="B47" s="16"/>
    </row>
    <row r="48">
      <c r="B48" s="16"/>
    </row>
    <row r="49">
      <c r="B49" s="16"/>
    </row>
    <row r="50">
      <c r="B50" s="16"/>
    </row>
    <row r="51">
      <c r="B51" s="16"/>
    </row>
    <row r="52">
      <c r="B52" s="16"/>
    </row>
    <row r="53">
      <c r="B53" s="16"/>
    </row>
    <row r="54">
      <c r="B54" s="16"/>
    </row>
    <row r="55">
      <c r="B55" s="16"/>
    </row>
    <row r="56">
      <c r="B56" s="16"/>
    </row>
    <row r="57">
      <c r="B57" s="16"/>
    </row>
    <row r="58">
      <c r="B58" s="16"/>
    </row>
    <row r="59">
      <c r="B59" s="16"/>
    </row>
    <row r="60">
      <c r="B60" s="16"/>
    </row>
    <row r="61">
      <c r="B61" s="16"/>
    </row>
    <row r="62">
      <c r="B62" s="16"/>
    </row>
    <row r="63">
      <c r="B63" s="16"/>
    </row>
    <row r="64">
      <c r="B64" s="16"/>
    </row>
    <row r="65">
      <c r="B65" s="16"/>
    </row>
    <row r="66">
      <c r="B66" s="16"/>
    </row>
    <row r="67">
      <c r="B67" s="16"/>
    </row>
    <row r="68">
      <c r="B68" s="16"/>
    </row>
    <row r="69">
      <c r="B69" s="16"/>
    </row>
    <row r="70">
      <c r="B70" s="16"/>
    </row>
    <row r="71">
      <c r="B71" s="16"/>
    </row>
    <row r="72">
      <c r="B72" s="16"/>
    </row>
    <row r="73">
      <c r="B73" s="16"/>
    </row>
    <row r="74">
      <c r="B74" s="16"/>
    </row>
    <row r="75">
      <c r="B75" s="16"/>
    </row>
    <row r="76">
      <c r="B76" s="16"/>
    </row>
    <row r="77">
      <c r="B77" s="16"/>
    </row>
    <row r="78">
      <c r="B78" s="16"/>
    </row>
    <row r="79">
      <c r="B79" s="16"/>
    </row>
    <row r="80">
      <c r="B80" s="16"/>
    </row>
    <row r="81">
      <c r="B81" s="16"/>
    </row>
    <row r="82">
      <c r="B82" s="16"/>
    </row>
    <row r="83">
      <c r="B83" s="16"/>
    </row>
    <row r="84">
      <c r="B84" s="16"/>
    </row>
    <row r="85">
      <c r="B85" s="16"/>
    </row>
    <row r="86">
      <c r="B86" s="16"/>
    </row>
    <row r="87">
      <c r="B87" s="16"/>
    </row>
    <row r="88">
      <c r="B88" s="16"/>
    </row>
    <row r="89">
      <c r="B89" s="16"/>
    </row>
    <row r="90">
      <c r="B90" s="16"/>
    </row>
    <row r="91">
      <c r="B91" s="16"/>
    </row>
    <row r="92">
      <c r="B92" s="16"/>
    </row>
    <row r="93">
      <c r="B93" s="16"/>
    </row>
    <row r="94">
      <c r="B94" s="16"/>
    </row>
    <row r="95">
      <c r="B95" s="16"/>
    </row>
    <row r="96">
      <c r="B96" s="16"/>
    </row>
    <row r="97">
      <c r="B97" s="16"/>
    </row>
    <row r="98">
      <c r="B98" s="16"/>
    </row>
    <row r="99">
      <c r="B99" s="16"/>
    </row>
    <row r="100">
      <c r="B100" s="16"/>
    </row>
    <row r="101">
      <c r="B101" s="16"/>
    </row>
    <row r="102">
      <c r="B102" s="16"/>
    </row>
    <row r="103">
      <c r="B103" s="16"/>
    </row>
    <row r="104">
      <c r="B104" s="16"/>
    </row>
    <row r="105">
      <c r="B105" s="16"/>
    </row>
    <row r="106">
      <c r="B106" s="16"/>
    </row>
    <row r="107">
      <c r="B107" s="16"/>
    </row>
    <row r="108">
      <c r="B108" s="16"/>
    </row>
    <row r="109">
      <c r="B109" s="16"/>
    </row>
    <row r="110">
      <c r="B110" s="16"/>
    </row>
    <row r="111">
      <c r="B111" s="16"/>
    </row>
    <row r="112">
      <c r="B112" s="16"/>
    </row>
    <row r="113">
      <c r="B113" s="16"/>
    </row>
    <row r="114">
      <c r="B114" s="16"/>
    </row>
    <row r="115">
      <c r="B115" s="16"/>
    </row>
    <row r="116">
      <c r="B116" s="16"/>
    </row>
    <row r="117">
      <c r="B117" s="16"/>
    </row>
    <row r="118">
      <c r="B118" s="16"/>
    </row>
    <row r="119">
      <c r="B119" s="16"/>
    </row>
    <row r="120">
      <c r="B120" s="16"/>
    </row>
    <row r="121">
      <c r="B121" s="16"/>
    </row>
    <row r="122">
      <c r="B122" s="16"/>
    </row>
    <row r="123">
      <c r="B123" s="16"/>
    </row>
    <row r="124">
      <c r="B124" s="16"/>
    </row>
    <row r="125">
      <c r="B125" s="16"/>
    </row>
    <row r="126">
      <c r="B126" s="16"/>
    </row>
    <row r="127">
      <c r="B127" s="16"/>
    </row>
    <row r="128">
      <c r="B128" s="16"/>
    </row>
    <row r="129">
      <c r="B129" s="16"/>
    </row>
    <row r="130">
      <c r="B130" s="16"/>
    </row>
    <row r="131">
      <c r="B131" s="16"/>
    </row>
    <row r="132">
      <c r="B132" s="16"/>
    </row>
    <row r="133">
      <c r="B133" s="16"/>
    </row>
    <row r="134">
      <c r="B134" s="16"/>
    </row>
    <row r="135">
      <c r="B135" s="16"/>
    </row>
    <row r="136">
      <c r="B136" s="16"/>
    </row>
    <row r="137">
      <c r="B137" s="16"/>
    </row>
    <row r="138">
      <c r="B138" s="16"/>
    </row>
    <row r="139">
      <c r="B139" s="16"/>
    </row>
    <row r="140">
      <c r="B140" s="16"/>
    </row>
    <row r="141">
      <c r="B141" s="16"/>
    </row>
    <row r="142">
      <c r="B142" s="16"/>
    </row>
    <row r="143">
      <c r="B143" s="16"/>
    </row>
    <row r="144">
      <c r="B144" s="16"/>
    </row>
    <row r="145">
      <c r="B145" s="16"/>
    </row>
    <row r="146">
      <c r="B146" s="16"/>
    </row>
    <row r="147">
      <c r="B147" s="16"/>
    </row>
    <row r="148">
      <c r="B148" s="16"/>
    </row>
    <row r="149">
      <c r="B149" s="16"/>
    </row>
    <row r="150">
      <c r="B150" s="16"/>
    </row>
    <row r="151">
      <c r="B151" s="16"/>
    </row>
    <row r="152">
      <c r="B152" s="16"/>
    </row>
    <row r="153">
      <c r="B153" s="16"/>
    </row>
    <row r="154">
      <c r="B154" s="16"/>
    </row>
    <row r="155">
      <c r="B155" s="16"/>
    </row>
    <row r="156">
      <c r="B156" s="16"/>
    </row>
    <row r="157">
      <c r="B157" s="16"/>
    </row>
    <row r="158">
      <c r="B158" s="16"/>
    </row>
    <row r="159">
      <c r="B159" s="16"/>
    </row>
    <row r="160">
      <c r="B160" s="16"/>
    </row>
    <row r="161">
      <c r="B161" s="16"/>
    </row>
    <row r="162">
      <c r="B162" s="16"/>
    </row>
    <row r="163">
      <c r="B163" s="16"/>
    </row>
    <row r="164">
      <c r="B164" s="16"/>
    </row>
    <row r="165">
      <c r="B165" s="16"/>
    </row>
    <row r="166">
      <c r="B166" s="16"/>
    </row>
    <row r="167">
      <c r="B167" s="16"/>
    </row>
    <row r="168">
      <c r="B168" s="16"/>
    </row>
    <row r="169">
      <c r="B169" s="16"/>
    </row>
    <row r="170">
      <c r="B170" s="16"/>
    </row>
    <row r="171">
      <c r="B171" s="16"/>
    </row>
    <row r="172">
      <c r="B172" s="16"/>
    </row>
    <row r="173">
      <c r="B173" s="16"/>
    </row>
    <row r="174">
      <c r="B174" s="16"/>
    </row>
    <row r="175">
      <c r="B175" s="16"/>
    </row>
    <row r="176">
      <c r="B176" s="16"/>
    </row>
    <row r="177">
      <c r="B177" s="16"/>
    </row>
    <row r="178">
      <c r="B178" s="16"/>
    </row>
    <row r="179">
      <c r="B179" s="16"/>
    </row>
    <row r="180">
      <c r="B180" s="16"/>
    </row>
    <row r="181">
      <c r="B181" s="16"/>
    </row>
    <row r="182">
      <c r="B182" s="16"/>
    </row>
    <row r="183">
      <c r="B183" s="16"/>
    </row>
    <row r="184">
      <c r="B184" s="16"/>
    </row>
    <row r="185">
      <c r="B185" s="16"/>
    </row>
    <row r="186">
      <c r="B186" s="16"/>
    </row>
    <row r="187">
      <c r="B187" s="16"/>
    </row>
    <row r="188">
      <c r="B188" s="16"/>
    </row>
    <row r="189">
      <c r="B189" s="16"/>
    </row>
    <row r="190">
      <c r="B190" s="16"/>
    </row>
    <row r="191">
      <c r="B191" s="16"/>
    </row>
    <row r="192">
      <c r="B192" s="16"/>
    </row>
    <row r="193">
      <c r="B193" s="16"/>
    </row>
    <row r="194">
      <c r="B194" s="16"/>
    </row>
    <row r="195">
      <c r="B195" s="16"/>
    </row>
    <row r="196">
      <c r="B196" s="16"/>
    </row>
    <row r="197">
      <c r="B197" s="16"/>
    </row>
    <row r="198">
      <c r="B198" s="16"/>
    </row>
    <row r="199">
      <c r="B199" s="16"/>
    </row>
    <row r="200">
      <c r="B200" s="16"/>
    </row>
    <row r="201">
      <c r="B201" s="16"/>
    </row>
    <row r="202">
      <c r="B202" s="16"/>
    </row>
    <row r="203">
      <c r="B203" s="16"/>
    </row>
    <row r="204">
      <c r="B204" s="16"/>
    </row>
    <row r="205">
      <c r="B205" s="16"/>
    </row>
    <row r="206">
      <c r="B206" s="16"/>
    </row>
    <row r="207">
      <c r="B207" s="16"/>
    </row>
    <row r="208">
      <c r="B208" s="16"/>
    </row>
    <row r="209">
      <c r="B209" s="16"/>
    </row>
    <row r="210">
      <c r="B210" s="16"/>
    </row>
    <row r="211">
      <c r="B211" s="16"/>
    </row>
    <row r="212">
      <c r="B212" s="16"/>
    </row>
    <row r="213">
      <c r="B213" s="16"/>
    </row>
    <row r="214">
      <c r="B214" s="16"/>
    </row>
    <row r="215">
      <c r="B215" s="16"/>
    </row>
    <row r="216">
      <c r="B216" s="16"/>
    </row>
    <row r="217">
      <c r="B217" s="16"/>
    </row>
    <row r="218">
      <c r="B218" s="16"/>
    </row>
    <row r="219">
      <c r="B219" s="16"/>
    </row>
    <row r="220">
      <c r="B220" s="16"/>
    </row>
    <row r="221">
      <c r="B221" s="16"/>
    </row>
    <row r="222">
      <c r="B222" s="16"/>
    </row>
    <row r="223">
      <c r="B223" s="16"/>
    </row>
    <row r="224">
      <c r="B224" s="16"/>
    </row>
    <row r="225">
      <c r="B225" s="16"/>
    </row>
    <row r="226">
      <c r="B226" s="16"/>
    </row>
    <row r="227">
      <c r="B227" s="16"/>
    </row>
    <row r="228">
      <c r="B228" s="16"/>
    </row>
    <row r="229">
      <c r="B229" s="16"/>
    </row>
    <row r="230">
      <c r="B230" s="16"/>
    </row>
    <row r="231">
      <c r="B231" s="16"/>
    </row>
    <row r="232">
      <c r="B232" s="16"/>
    </row>
    <row r="233">
      <c r="B233" s="16"/>
    </row>
    <row r="234">
      <c r="B234" s="16"/>
    </row>
    <row r="235">
      <c r="B235" s="16"/>
    </row>
    <row r="236">
      <c r="B236" s="16"/>
    </row>
    <row r="237">
      <c r="B237" s="16"/>
    </row>
    <row r="238">
      <c r="B238" s="16"/>
    </row>
    <row r="239">
      <c r="B239" s="16"/>
    </row>
    <row r="240">
      <c r="B240" s="16"/>
    </row>
    <row r="241">
      <c r="B241" s="16"/>
    </row>
    <row r="242">
      <c r="B242" s="16"/>
    </row>
    <row r="243">
      <c r="B243" s="16"/>
    </row>
    <row r="244">
      <c r="B244" s="16"/>
    </row>
    <row r="245">
      <c r="B245" s="16"/>
    </row>
    <row r="246">
      <c r="B246" s="16"/>
    </row>
    <row r="247">
      <c r="B247" s="16"/>
    </row>
    <row r="248">
      <c r="B248" s="16"/>
    </row>
    <row r="249">
      <c r="B249" s="16"/>
    </row>
    <row r="250">
      <c r="B250" s="16"/>
    </row>
    <row r="251">
      <c r="B251" s="16"/>
    </row>
    <row r="252">
      <c r="B252" s="16"/>
    </row>
    <row r="253">
      <c r="B253" s="16"/>
    </row>
    <row r="254">
      <c r="B254" s="16"/>
    </row>
    <row r="255">
      <c r="B255" s="16"/>
    </row>
    <row r="256">
      <c r="B256" s="16"/>
    </row>
    <row r="257">
      <c r="B257" s="16"/>
    </row>
    <row r="258">
      <c r="B258" s="16"/>
    </row>
    <row r="259">
      <c r="B259" s="16"/>
    </row>
    <row r="260">
      <c r="B260" s="16"/>
    </row>
    <row r="261">
      <c r="B261" s="16"/>
    </row>
    <row r="262">
      <c r="B262" s="16"/>
    </row>
    <row r="263">
      <c r="B263" s="16"/>
    </row>
    <row r="264">
      <c r="B264" s="16"/>
    </row>
    <row r="265">
      <c r="B265" s="16"/>
    </row>
    <row r="266">
      <c r="B266" s="16"/>
    </row>
    <row r="267">
      <c r="B267" s="16"/>
    </row>
    <row r="268">
      <c r="B268" s="16"/>
    </row>
    <row r="269">
      <c r="B269" s="16"/>
    </row>
    <row r="270">
      <c r="B270" s="16"/>
    </row>
    <row r="271">
      <c r="B271" s="16"/>
    </row>
    <row r="272">
      <c r="B272" s="16"/>
    </row>
    <row r="273">
      <c r="B273" s="16"/>
    </row>
    <row r="274">
      <c r="B274" s="16"/>
    </row>
    <row r="275">
      <c r="B275" s="16"/>
    </row>
    <row r="276">
      <c r="B276" s="16"/>
    </row>
    <row r="277">
      <c r="B277" s="16"/>
    </row>
    <row r="278">
      <c r="B278" s="16"/>
    </row>
    <row r="279">
      <c r="B279" s="16"/>
    </row>
    <row r="280">
      <c r="B280" s="16"/>
    </row>
    <row r="281">
      <c r="B281" s="16"/>
    </row>
    <row r="282">
      <c r="B282" s="16"/>
    </row>
    <row r="283">
      <c r="B283" s="16"/>
    </row>
    <row r="284">
      <c r="B284" s="16"/>
    </row>
    <row r="285">
      <c r="B285" s="16"/>
    </row>
    <row r="286">
      <c r="B286" s="16"/>
    </row>
    <row r="287">
      <c r="B287" s="16"/>
    </row>
    <row r="288">
      <c r="B288" s="16"/>
    </row>
    <row r="289">
      <c r="B289" s="16"/>
    </row>
    <row r="290">
      <c r="B290" s="16"/>
    </row>
    <row r="291">
      <c r="B291" s="16"/>
    </row>
    <row r="292">
      <c r="B292" s="16"/>
    </row>
    <row r="293">
      <c r="B293" s="16"/>
    </row>
    <row r="294">
      <c r="B294" s="16"/>
    </row>
    <row r="295">
      <c r="B295" s="16"/>
    </row>
    <row r="296">
      <c r="B296" s="16"/>
    </row>
    <row r="297">
      <c r="B297" s="16"/>
    </row>
    <row r="298">
      <c r="B298" s="16"/>
    </row>
    <row r="299">
      <c r="B299" s="16"/>
    </row>
    <row r="300">
      <c r="B300" s="16"/>
    </row>
    <row r="301">
      <c r="B301" s="16"/>
    </row>
    <row r="302">
      <c r="B302" s="16"/>
    </row>
    <row r="303">
      <c r="B303" s="16"/>
    </row>
    <row r="304">
      <c r="B304" s="16"/>
    </row>
    <row r="305">
      <c r="B305" s="16"/>
    </row>
    <row r="306">
      <c r="B306" s="16"/>
    </row>
    <row r="307">
      <c r="B307" s="16"/>
    </row>
    <row r="308">
      <c r="B308" s="16"/>
    </row>
    <row r="309">
      <c r="B309" s="16"/>
    </row>
    <row r="310">
      <c r="B310" s="16"/>
    </row>
    <row r="311">
      <c r="B311" s="16"/>
    </row>
    <row r="312">
      <c r="B312" s="16"/>
    </row>
    <row r="313">
      <c r="B313" s="16"/>
    </row>
    <row r="314">
      <c r="B314" s="16"/>
    </row>
    <row r="315">
      <c r="B315" s="16"/>
    </row>
    <row r="316">
      <c r="B316" s="16"/>
    </row>
    <row r="317">
      <c r="B317" s="16"/>
    </row>
    <row r="318">
      <c r="B318" s="16"/>
    </row>
    <row r="319">
      <c r="B319" s="16"/>
    </row>
    <row r="320">
      <c r="B320" s="16"/>
    </row>
    <row r="321">
      <c r="B321" s="16"/>
    </row>
    <row r="322">
      <c r="B322" s="16"/>
    </row>
    <row r="323">
      <c r="B323" s="16"/>
    </row>
    <row r="324">
      <c r="B324" s="16"/>
    </row>
    <row r="325">
      <c r="B325" s="16"/>
    </row>
    <row r="326">
      <c r="B326" s="16"/>
    </row>
    <row r="327">
      <c r="B327" s="16"/>
    </row>
    <row r="328">
      <c r="B328" s="16"/>
    </row>
    <row r="329">
      <c r="B329" s="16"/>
    </row>
    <row r="330">
      <c r="B330" s="16"/>
    </row>
    <row r="331">
      <c r="B331" s="16"/>
    </row>
    <row r="332">
      <c r="B332" s="16"/>
    </row>
    <row r="333">
      <c r="B333" s="16"/>
    </row>
    <row r="334">
      <c r="B334" s="16"/>
    </row>
    <row r="335">
      <c r="B335" s="16"/>
    </row>
    <row r="336">
      <c r="B336" s="16"/>
    </row>
    <row r="337">
      <c r="B337" s="16"/>
    </row>
    <row r="338">
      <c r="B338" s="16"/>
    </row>
    <row r="339">
      <c r="B339" s="16"/>
    </row>
    <row r="340">
      <c r="B340" s="16"/>
    </row>
    <row r="341">
      <c r="B341" s="16"/>
    </row>
    <row r="342">
      <c r="B342" s="16"/>
    </row>
    <row r="343">
      <c r="B343" s="16"/>
    </row>
    <row r="344">
      <c r="B344" s="16"/>
    </row>
    <row r="345">
      <c r="B345" s="16"/>
    </row>
    <row r="346">
      <c r="B346" s="16"/>
    </row>
    <row r="347">
      <c r="B347" s="16"/>
    </row>
    <row r="348">
      <c r="B348" s="16"/>
    </row>
    <row r="349">
      <c r="B349" s="16"/>
    </row>
    <row r="350">
      <c r="B350" s="16"/>
    </row>
    <row r="351">
      <c r="B351" s="16"/>
    </row>
    <row r="352">
      <c r="B352" s="16"/>
    </row>
    <row r="353">
      <c r="B353" s="16"/>
    </row>
    <row r="354">
      <c r="B354" s="16"/>
    </row>
    <row r="355">
      <c r="B355" s="16"/>
    </row>
    <row r="356">
      <c r="B356" s="16"/>
    </row>
    <row r="357">
      <c r="B357" s="16"/>
    </row>
    <row r="358">
      <c r="B358" s="16"/>
    </row>
    <row r="359">
      <c r="B359" s="16"/>
    </row>
    <row r="360">
      <c r="B360" s="16"/>
    </row>
    <row r="361">
      <c r="B361" s="16"/>
    </row>
    <row r="362">
      <c r="B362" s="16"/>
    </row>
    <row r="363">
      <c r="B363" s="16"/>
    </row>
    <row r="364">
      <c r="B364" s="16"/>
    </row>
    <row r="365">
      <c r="B365" s="16"/>
    </row>
    <row r="366">
      <c r="B366" s="16"/>
    </row>
    <row r="367">
      <c r="B367" s="16"/>
    </row>
    <row r="368">
      <c r="B368" s="16"/>
    </row>
    <row r="369">
      <c r="B369" s="16"/>
    </row>
    <row r="370">
      <c r="B370" s="16"/>
    </row>
    <row r="371">
      <c r="B371" s="16"/>
    </row>
    <row r="372">
      <c r="B372" s="16"/>
    </row>
    <row r="373">
      <c r="B373" s="16"/>
    </row>
    <row r="374">
      <c r="B374" s="16"/>
    </row>
    <row r="375">
      <c r="B375" s="16"/>
    </row>
    <row r="376">
      <c r="B376" s="16"/>
    </row>
    <row r="377">
      <c r="B377" s="16"/>
    </row>
    <row r="378">
      <c r="B378" s="16"/>
    </row>
    <row r="379">
      <c r="B379" s="16"/>
    </row>
    <row r="380">
      <c r="B380" s="16"/>
    </row>
    <row r="381">
      <c r="B381" s="16"/>
    </row>
    <row r="382">
      <c r="B382" s="16"/>
    </row>
    <row r="383">
      <c r="B383" s="16"/>
    </row>
    <row r="384">
      <c r="B384" s="16"/>
    </row>
    <row r="385">
      <c r="B385" s="16"/>
    </row>
    <row r="386">
      <c r="B386" s="16"/>
    </row>
    <row r="387">
      <c r="B387" s="16"/>
    </row>
    <row r="388">
      <c r="B388" s="16"/>
    </row>
    <row r="389">
      <c r="B389" s="16"/>
    </row>
    <row r="390">
      <c r="B390" s="16"/>
    </row>
    <row r="391">
      <c r="B391" s="16"/>
    </row>
    <row r="392">
      <c r="B392" s="16"/>
    </row>
    <row r="393">
      <c r="B393" s="16"/>
    </row>
    <row r="394">
      <c r="B394" s="16"/>
    </row>
    <row r="395">
      <c r="B395" s="16"/>
    </row>
    <row r="396">
      <c r="B396" s="16"/>
    </row>
    <row r="397">
      <c r="B397" s="16"/>
    </row>
    <row r="398">
      <c r="B398" s="16"/>
    </row>
    <row r="399">
      <c r="B399" s="16"/>
    </row>
    <row r="400">
      <c r="B400" s="16"/>
    </row>
    <row r="401">
      <c r="B401" s="16"/>
    </row>
    <row r="402">
      <c r="B402" s="16"/>
    </row>
    <row r="403">
      <c r="B403" s="16"/>
    </row>
    <row r="404">
      <c r="B404" s="16"/>
    </row>
    <row r="405">
      <c r="B405" s="16"/>
    </row>
    <row r="406">
      <c r="B406" s="16"/>
    </row>
    <row r="407">
      <c r="B407" s="16"/>
    </row>
    <row r="408">
      <c r="B408" s="16"/>
    </row>
    <row r="409">
      <c r="B409" s="16"/>
    </row>
    <row r="410">
      <c r="B410" s="16"/>
    </row>
    <row r="411">
      <c r="B411" s="16"/>
    </row>
    <row r="412">
      <c r="B412" s="16"/>
    </row>
    <row r="413">
      <c r="B413" s="16"/>
    </row>
    <row r="414">
      <c r="B414" s="16"/>
    </row>
    <row r="415">
      <c r="B415" s="16"/>
    </row>
    <row r="416">
      <c r="B416" s="16"/>
    </row>
    <row r="417">
      <c r="B417" s="16"/>
    </row>
    <row r="418">
      <c r="B418" s="16"/>
    </row>
    <row r="419">
      <c r="B419" s="16"/>
    </row>
    <row r="420">
      <c r="B420" s="16"/>
    </row>
    <row r="421">
      <c r="B421" s="16"/>
    </row>
    <row r="422">
      <c r="B422" s="16"/>
    </row>
    <row r="423">
      <c r="B423" s="16"/>
    </row>
    <row r="424">
      <c r="B424" s="16"/>
    </row>
    <row r="425">
      <c r="B425" s="16"/>
    </row>
    <row r="426">
      <c r="B426" s="16"/>
    </row>
    <row r="427">
      <c r="B427" s="16"/>
    </row>
    <row r="428">
      <c r="B428" s="16"/>
    </row>
    <row r="429">
      <c r="B429" s="16"/>
    </row>
    <row r="430">
      <c r="B430" s="16"/>
    </row>
    <row r="431">
      <c r="B431" s="16"/>
    </row>
    <row r="432">
      <c r="B432" s="16"/>
    </row>
    <row r="433">
      <c r="B433" s="16"/>
    </row>
    <row r="434">
      <c r="B434" s="16"/>
    </row>
    <row r="435">
      <c r="B435" s="16"/>
    </row>
    <row r="436">
      <c r="B436" s="16"/>
    </row>
    <row r="437">
      <c r="B437" s="16"/>
    </row>
    <row r="438">
      <c r="B438" s="16"/>
    </row>
    <row r="439">
      <c r="B439" s="16"/>
    </row>
    <row r="440">
      <c r="B440" s="16"/>
    </row>
    <row r="441">
      <c r="B441" s="16"/>
    </row>
    <row r="442">
      <c r="B442" s="16"/>
    </row>
    <row r="443">
      <c r="B443" s="16"/>
    </row>
    <row r="444">
      <c r="B444" s="16"/>
    </row>
    <row r="445">
      <c r="B445" s="16"/>
    </row>
    <row r="446">
      <c r="B446" s="16"/>
    </row>
    <row r="447">
      <c r="B447" s="16"/>
    </row>
    <row r="448">
      <c r="B448" s="16"/>
    </row>
    <row r="449">
      <c r="B449" s="16"/>
    </row>
    <row r="450">
      <c r="B450" s="16"/>
    </row>
    <row r="451">
      <c r="B451" s="16"/>
    </row>
    <row r="452">
      <c r="B452" s="16"/>
    </row>
    <row r="453">
      <c r="B453" s="16"/>
    </row>
    <row r="454">
      <c r="B454" s="16"/>
    </row>
    <row r="455">
      <c r="B455" s="16"/>
    </row>
    <row r="456">
      <c r="B456" s="16"/>
    </row>
    <row r="457">
      <c r="B457" s="16"/>
    </row>
    <row r="458">
      <c r="B458" s="16"/>
    </row>
    <row r="459">
      <c r="B459" s="16"/>
    </row>
    <row r="460">
      <c r="B460" s="16"/>
    </row>
    <row r="461">
      <c r="B461" s="16"/>
    </row>
    <row r="462">
      <c r="B462" s="16"/>
    </row>
    <row r="463">
      <c r="B463" s="16"/>
    </row>
    <row r="464">
      <c r="B464" s="16"/>
    </row>
    <row r="465">
      <c r="B465" s="16"/>
    </row>
    <row r="466">
      <c r="B466" s="16"/>
    </row>
    <row r="467">
      <c r="B467" s="16"/>
    </row>
    <row r="468">
      <c r="B468" s="16"/>
    </row>
    <row r="469">
      <c r="B469" s="16"/>
    </row>
    <row r="470">
      <c r="B470" s="16"/>
    </row>
    <row r="471">
      <c r="B471" s="16"/>
    </row>
    <row r="472">
      <c r="B472" s="16"/>
    </row>
    <row r="473">
      <c r="B473" s="16"/>
    </row>
    <row r="474">
      <c r="B474" s="16"/>
    </row>
    <row r="475">
      <c r="B475" s="16"/>
    </row>
    <row r="476">
      <c r="B476" s="16"/>
    </row>
    <row r="477">
      <c r="B477" s="16"/>
    </row>
    <row r="478">
      <c r="B478" s="16"/>
    </row>
    <row r="479">
      <c r="B479" s="16"/>
    </row>
    <row r="480">
      <c r="B480" s="16"/>
    </row>
    <row r="481">
      <c r="B481" s="16"/>
    </row>
    <row r="482">
      <c r="B482" s="16"/>
    </row>
    <row r="483">
      <c r="B483" s="16"/>
    </row>
    <row r="484">
      <c r="B484" s="16"/>
    </row>
    <row r="485">
      <c r="B485" s="16"/>
    </row>
    <row r="486">
      <c r="B486" s="16"/>
    </row>
    <row r="487">
      <c r="B487" s="16"/>
    </row>
    <row r="488">
      <c r="B488" s="16"/>
    </row>
    <row r="489">
      <c r="B489" s="16"/>
    </row>
    <row r="490">
      <c r="B490" s="16"/>
    </row>
    <row r="491">
      <c r="B491" s="16"/>
    </row>
    <row r="492">
      <c r="B492" s="16"/>
    </row>
    <row r="493">
      <c r="B493" s="16"/>
    </row>
    <row r="494">
      <c r="B494" s="16"/>
    </row>
    <row r="495">
      <c r="B495" s="16"/>
    </row>
    <row r="496">
      <c r="B496" s="16"/>
    </row>
    <row r="497">
      <c r="B497" s="16"/>
    </row>
    <row r="498">
      <c r="B498" s="16"/>
    </row>
    <row r="499">
      <c r="B499" s="16"/>
    </row>
    <row r="500">
      <c r="B500" s="16"/>
    </row>
    <row r="501">
      <c r="B501" s="16"/>
    </row>
    <row r="502">
      <c r="B502" s="16"/>
    </row>
    <row r="503">
      <c r="B503" s="16"/>
    </row>
    <row r="504">
      <c r="B504" s="16"/>
    </row>
    <row r="505">
      <c r="B505" s="16"/>
    </row>
    <row r="506">
      <c r="B506" s="16"/>
    </row>
    <row r="507">
      <c r="B507" s="16"/>
    </row>
    <row r="508">
      <c r="B508" s="16"/>
    </row>
    <row r="509">
      <c r="B509" s="16"/>
    </row>
    <row r="510">
      <c r="B510" s="16"/>
    </row>
    <row r="511">
      <c r="B511" s="16"/>
    </row>
    <row r="512">
      <c r="B512" s="16"/>
    </row>
    <row r="513">
      <c r="B513" s="16"/>
    </row>
    <row r="514">
      <c r="B514" s="16"/>
    </row>
    <row r="515">
      <c r="B515" s="16"/>
    </row>
    <row r="516">
      <c r="B516" s="16"/>
    </row>
    <row r="517">
      <c r="B517" s="16"/>
    </row>
    <row r="518">
      <c r="B518" s="16"/>
    </row>
    <row r="519">
      <c r="B519" s="16"/>
    </row>
    <row r="520">
      <c r="B520" s="16"/>
    </row>
    <row r="521">
      <c r="B521" s="16"/>
    </row>
    <row r="522">
      <c r="B522" s="16"/>
    </row>
    <row r="523">
      <c r="B523" s="16"/>
    </row>
    <row r="524">
      <c r="B524" s="16"/>
    </row>
    <row r="525">
      <c r="B525" s="16"/>
    </row>
    <row r="526">
      <c r="B526" s="16"/>
    </row>
    <row r="527">
      <c r="B527" s="16"/>
    </row>
    <row r="528">
      <c r="B528" s="16"/>
    </row>
    <row r="529">
      <c r="B529" s="16"/>
    </row>
    <row r="530">
      <c r="B530" s="16"/>
    </row>
    <row r="531">
      <c r="B531" s="16"/>
    </row>
    <row r="532">
      <c r="B532" s="16"/>
    </row>
    <row r="533">
      <c r="B533" s="16"/>
    </row>
    <row r="534">
      <c r="B534" s="16"/>
    </row>
    <row r="535">
      <c r="B535" s="16"/>
    </row>
    <row r="536">
      <c r="B536" s="16"/>
    </row>
    <row r="537">
      <c r="B537" s="16"/>
    </row>
    <row r="538">
      <c r="B538" s="16"/>
    </row>
    <row r="539">
      <c r="B539" s="16"/>
    </row>
    <row r="540">
      <c r="B540" s="16"/>
    </row>
    <row r="541">
      <c r="B541" s="16"/>
    </row>
    <row r="542">
      <c r="B542" s="16"/>
    </row>
    <row r="543">
      <c r="B543" s="16"/>
    </row>
    <row r="544">
      <c r="B544" s="16"/>
    </row>
    <row r="545">
      <c r="B545" s="16"/>
    </row>
    <row r="546">
      <c r="B546" s="16"/>
    </row>
    <row r="547">
      <c r="B547" s="16"/>
    </row>
    <row r="548">
      <c r="B548" s="16"/>
    </row>
    <row r="549">
      <c r="B549" s="16"/>
    </row>
    <row r="550">
      <c r="B550" s="16"/>
    </row>
    <row r="551">
      <c r="B551" s="16"/>
    </row>
    <row r="552">
      <c r="B552" s="16"/>
    </row>
    <row r="553">
      <c r="B553" s="16"/>
    </row>
    <row r="554">
      <c r="B554" s="16"/>
    </row>
    <row r="555">
      <c r="B555" s="16"/>
    </row>
    <row r="556">
      <c r="B556" s="16"/>
    </row>
    <row r="557">
      <c r="B557" s="16"/>
    </row>
    <row r="558">
      <c r="B558" s="16"/>
    </row>
    <row r="559">
      <c r="B559" s="16"/>
    </row>
    <row r="560">
      <c r="B560" s="16"/>
    </row>
    <row r="561">
      <c r="B561" s="16"/>
    </row>
    <row r="562">
      <c r="B562" s="16"/>
    </row>
    <row r="563">
      <c r="B563" s="16"/>
    </row>
    <row r="564">
      <c r="B564" s="16"/>
    </row>
    <row r="565">
      <c r="B565" s="16"/>
    </row>
    <row r="566">
      <c r="B566" s="16"/>
    </row>
    <row r="567">
      <c r="B567" s="16"/>
    </row>
    <row r="568">
      <c r="B568" s="16"/>
    </row>
    <row r="569">
      <c r="B569" s="16"/>
    </row>
    <row r="570">
      <c r="B570" s="16"/>
    </row>
    <row r="571">
      <c r="B571" s="16"/>
    </row>
    <row r="572">
      <c r="B572" s="16"/>
    </row>
    <row r="573">
      <c r="B573" s="16"/>
    </row>
    <row r="574">
      <c r="B574" s="16"/>
    </row>
    <row r="575">
      <c r="B575" s="16"/>
    </row>
    <row r="576">
      <c r="B576" s="16"/>
    </row>
    <row r="577">
      <c r="B577" s="16"/>
    </row>
    <row r="578">
      <c r="B578" s="16"/>
    </row>
    <row r="579">
      <c r="B579" s="16"/>
    </row>
    <row r="580">
      <c r="B580" s="16"/>
    </row>
    <row r="581">
      <c r="B581" s="16"/>
    </row>
    <row r="582">
      <c r="B582" s="16"/>
    </row>
    <row r="583">
      <c r="B583" s="16"/>
    </row>
    <row r="584">
      <c r="B584" s="16"/>
    </row>
    <row r="585">
      <c r="B585" s="16"/>
    </row>
    <row r="586">
      <c r="B586" s="16"/>
    </row>
    <row r="587">
      <c r="B587" s="16"/>
    </row>
    <row r="588">
      <c r="B588" s="16"/>
    </row>
    <row r="589">
      <c r="B589" s="16"/>
    </row>
    <row r="590">
      <c r="B590" s="16"/>
    </row>
    <row r="591">
      <c r="B591" s="16"/>
    </row>
    <row r="592">
      <c r="B592" s="16"/>
    </row>
    <row r="593">
      <c r="B593" s="16"/>
    </row>
    <row r="594">
      <c r="B594" s="16"/>
    </row>
    <row r="595">
      <c r="B595" s="16"/>
    </row>
    <row r="596">
      <c r="B596" s="16"/>
    </row>
    <row r="597">
      <c r="B597" s="16"/>
    </row>
    <row r="598">
      <c r="B598" s="16"/>
    </row>
    <row r="599">
      <c r="B599" s="16"/>
    </row>
    <row r="600">
      <c r="B600" s="16"/>
    </row>
    <row r="601">
      <c r="B601" s="16"/>
    </row>
    <row r="602">
      <c r="B602" s="16"/>
    </row>
    <row r="603">
      <c r="B603" s="16"/>
    </row>
    <row r="604">
      <c r="B604" s="16"/>
    </row>
    <row r="605">
      <c r="B605" s="16"/>
    </row>
    <row r="606">
      <c r="B606" s="16"/>
    </row>
    <row r="607">
      <c r="B607" s="16"/>
    </row>
    <row r="608">
      <c r="B608" s="16"/>
    </row>
    <row r="609">
      <c r="B609" s="16"/>
    </row>
    <row r="610">
      <c r="B610" s="16"/>
    </row>
    <row r="611">
      <c r="B611" s="16"/>
    </row>
    <row r="612">
      <c r="B612" s="16"/>
    </row>
    <row r="613">
      <c r="B613" s="16"/>
    </row>
    <row r="614">
      <c r="B614" s="16"/>
    </row>
    <row r="615">
      <c r="B615" s="16"/>
    </row>
    <row r="616">
      <c r="B616" s="16"/>
    </row>
    <row r="617">
      <c r="B617" s="16"/>
    </row>
    <row r="618">
      <c r="B618" s="16"/>
    </row>
    <row r="619">
      <c r="B619" s="16"/>
    </row>
    <row r="620">
      <c r="B620" s="16"/>
    </row>
    <row r="621">
      <c r="B621" s="16"/>
    </row>
    <row r="622">
      <c r="B622" s="16"/>
    </row>
    <row r="623">
      <c r="B623" s="16"/>
    </row>
    <row r="624">
      <c r="B624" s="16"/>
    </row>
    <row r="625">
      <c r="B625" s="16"/>
    </row>
    <row r="626">
      <c r="B626" s="16"/>
    </row>
    <row r="627">
      <c r="B627" s="16"/>
    </row>
    <row r="628">
      <c r="B628" s="16"/>
    </row>
    <row r="629">
      <c r="B629" s="16"/>
    </row>
    <row r="630">
      <c r="B630" s="16"/>
    </row>
    <row r="631">
      <c r="B631" s="16"/>
    </row>
    <row r="632">
      <c r="B632" s="16"/>
    </row>
    <row r="633">
      <c r="B633" s="16"/>
    </row>
    <row r="634">
      <c r="B634" s="16"/>
    </row>
    <row r="635">
      <c r="B635" s="16"/>
    </row>
    <row r="636">
      <c r="B636" s="16"/>
    </row>
    <row r="637">
      <c r="B637" s="16"/>
    </row>
    <row r="638">
      <c r="B638" s="16"/>
    </row>
    <row r="639">
      <c r="B639" s="16"/>
    </row>
    <row r="640">
      <c r="B640" s="16"/>
    </row>
    <row r="641">
      <c r="B641" s="16"/>
    </row>
    <row r="642">
      <c r="B642" s="16"/>
    </row>
    <row r="643">
      <c r="B643" s="16"/>
    </row>
    <row r="644">
      <c r="B644" s="16"/>
    </row>
    <row r="645">
      <c r="B645" s="16"/>
    </row>
    <row r="646">
      <c r="B646" s="16"/>
    </row>
    <row r="647">
      <c r="B647" s="16"/>
    </row>
    <row r="648">
      <c r="B648" s="16"/>
    </row>
    <row r="649">
      <c r="B649" s="16"/>
    </row>
    <row r="650">
      <c r="B650" s="16"/>
    </row>
    <row r="651">
      <c r="B651" s="16"/>
    </row>
    <row r="652">
      <c r="B652" s="16"/>
    </row>
    <row r="653">
      <c r="B653" s="16"/>
    </row>
    <row r="654">
      <c r="B654" s="16"/>
    </row>
    <row r="655">
      <c r="B655" s="16"/>
    </row>
    <row r="656">
      <c r="B656" s="16"/>
    </row>
    <row r="657">
      <c r="B657" s="16"/>
    </row>
    <row r="658">
      <c r="B658" s="16"/>
    </row>
    <row r="659">
      <c r="B659" s="16"/>
    </row>
    <row r="660">
      <c r="B660" s="16"/>
    </row>
    <row r="661">
      <c r="B661" s="16"/>
    </row>
    <row r="662">
      <c r="B662" s="16"/>
    </row>
    <row r="663">
      <c r="B663" s="16"/>
    </row>
    <row r="664">
      <c r="B664" s="16"/>
    </row>
    <row r="665">
      <c r="B665" s="16"/>
    </row>
    <row r="666">
      <c r="B666" s="16"/>
    </row>
    <row r="667">
      <c r="B667" s="16"/>
    </row>
    <row r="668">
      <c r="B668" s="16"/>
    </row>
    <row r="669">
      <c r="B669" s="16"/>
    </row>
    <row r="670">
      <c r="B670" s="16"/>
    </row>
    <row r="671">
      <c r="B671" s="16"/>
    </row>
    <row r="672">
      <c r="B672" s="16"/>
    </row>
    <row r="673">
      <c r="B673" s="16"/>
    </row>
    <row r="674">
      <c r="B674" s="16"/>
    </row>
    <row r="675">
      <c r="B675" s="16"/>
    </row>
    <row r="676">
      <c r="B676" s="16"/>
    </row>
    <row r="677">
      <c r="B677" s="16"/>
    </row>
    <row r="678">
      <c r="B678" s="16"/>
    </row>
    <row r="679">
      <c r="B679" s="16"/>
    </row>
    <row r="680">
      <c r="B680" s="16"/>
    </row>
    <row r="681">
      <c r="B681" s="16"/>
    </row>
    <row r="682">
      <c r="B682" s="16"/>
    </row>
    <row r="683">
      <c r="B683" s="16"/>
    </row>
    <row r="684">
      <c r="B684" s="16"/>
    </row>
    <row r="685">
      <c r="B685" s="16"/>
    </row>
    <row r="686">
      <c r="B686" s="16"/>
    </row>
    <row r="687">
      <c r="B687" s="16"/>
    </row>
    <row r="688">
      <c r="B688" s="16"/>
    </row>
    <row r="689">
      <c r="B689" s="16"/>
    </row>
    <row r="690">
      <c r="B690" s="16"/>
    </row>
    <row r="691">
      <c r="B691" s="16"/>
    </row>
    <row r="692">
      <c r="B692" s="16"/>
    </row>
    <row r="693">
      <c r="B693" s="16"/>
    </row>
    <row r="694">
      <c r="B694" s="16"/>
    </row>
    <row r="695">
      <c r="B695" s="16"/>
    </row>
    <row r="696">
      <c r="B696" s="16"/>
    </row>
    <row r="697">
      <c r="B697" s="16"/>
    </row>
    <row r="698">
      <c r="B698" s="16"/>
    </row>
    <row r="699">
      <c r="B699" s="16"/>
    </row>
    <row r="700">
      <c r="B700" s="16"/>
    </row>
    <row r="701">
      <c r="B701" s="16"/>
    </row>
    <row r="702">
      <c r="B702" s="16"/>
    </row>
    <row r="703">
      <c r="B703" s="16"/>
    </row>
    <row r="704">
      <c r="B704" s="16"/>
    </row>
    <row r="705">
      <c r="B705" s="16"/>
    </row>
    <row r="706">
      <c r="B706" s="16"/>
    </row>
    <row r="707">
      <c r="B707" s="16"/>
    </row>
    <row r="708">
      <c r="B708" s="16"/>
    </row>
    <row r="709">
      <c r="B709" s="16"/>
    </row>
    <row r="710">
      <c r="B710" s="16"/>
    </row>
    <row r="711">
      <c r="B711" s="16"/>
    </row>
    <row r="712">
      <c r="B712" s="16"/>
    </row>
    <row r="713">
      <c r="B713" s="16"/>
    </row>
    <row r="714">
      <c r="B714" s="16"/>
    </row>
    <row r="715">
      <c r="B715" s="16"/>
    </row>
    <row r="716">
      <c r="B716" s="16"/>
    </row>
    <row r="717">
      <c r="B717" s="16"/>
    </row>
    <row r="718">
      <c r="B718" s="16"/>
    </row>
    <row r="719">
      <c r="B719" s="16"/>
    </row>
    <row r="720">
      <c r="B720" s="16"/>
    </row>
    <row r="721">
      <c r="B721" s="16"/>
    </row>
    <row r="722">
      <c r="B722" s="16"/>
    </row>
    <row r="723">
      <c r="B723" s="16"/>
    </row>
    <row r="724">
      <c r="B724" s="16"/>
    </row>
    <row r="725">
      <c r="B725" s="16"/>
    </row>
    <row r="726">
      <c r="B726" s="16"/>
    </row>
    <row r="727">
      <c r="B727" s="16"/>
    </row>
    <row r="728">
      <c r="B728" s="16"/>
    </row>
    <row r="729">
      <c r="B729" s="16"/>
    </row>
    <row r="730">
      <c r="B730" s="16"/>
    </row>
    <row r="731">
      <c r="B731" s="16"/>
    </row>
    <row r="732">
      <c r="B732" s="16"/>
    </row>
    <row r="733">
      <c r="B733" s="16"/>
    </row>
    <row r="734">
      <c r="B734" s="16"/>
    </row>
    <row r="735">
      <c r="B735" s="16"/>
    </row>
    <row r="736">
      <c r="B736" s="16"/>
    </row>
    <row r="737">
      <c r="B737" s="16"/>
    </row>
    <row r="738">
      <c r="B738" s="16"/>
    </row>
    <row r="739">
      <c r="B739" s="16"/>
    </row>
    <row r="740">
      <c r="B740" s="16"/>
    </row>
    <row r="741">
      <c r="B741" s="16"/>
    </row>
    <row r="742">
      <c r="B742" s="16"/>
    </row>
    <row r="743">
      <c r="B743" s="16"/>
    </row>
    <row r="744">
      <c r="B744" s="16"/>
    </row>
    <row r="745">
      <c r="B745" s="16"/>
    </row>
    <row r="746">
      <c r="B746" s="16"/>
    </row>
    <row r="747">
      <c r="B747" s="16"/>
    </row>
    <row r="748">
      <c r="B748" s="16"/>
    </row>
    <row r="749">
      <c r="B749" s="16"/>
    </row>
    <row r="750">
      <c r="B750" s="16"/>
    </row>
    <row r="751">
      <c r="B751" s="16"/>
    </row>
    <row r="752">
      <c r="B752" s="16"/>
    </row>
    <row r="753">
      <c r="B753" s="16"/>
    </row>
    <row r="754">
      <c r="B754" s="16"/>
    </row>
    <row r="755">
      <c r="B755" s="16"/>
    </row>
    <row r="756">
      <c r="B756" s="16"/>
    </row>
    <row r="757">
      <c r="B757" s="16"/>
    </row>
    <row r="758">
      <c r="B758" s="16"/>
    </row>
    <row r="759">
      <c r="B759" s="16"/>
    </row>
    <row r="760">
      <c r="B760" s="16"/>
    </row>
    <row r="761">
      <c r="B761" s="16"/>
    </row>
    <row r="762">
      <c r="B762" s="16"/>
    </row>
    <row r="763">
      <c r="B763" s="16"/>
    </row>
    <row r="764">
      <c r="B764" s="16"/>
    </row>
    <row r="765">
      <c r="B765" s="16"/>
    </row>
    <row r="766">
      <c r="B766" s="16"/>
    </row>
    <row r="767">
      <c r="B767" s="16"/>
    </row>
    <row r="768">
      <c r="B768" s="16"/>
    </row>
    <row r="769">
      <c r="B769" s="16"/>
    </row>
    <row r="770">
      <c r="B770" s="16"/>
    </row>
    <row r="771">
      <c r="B771" s="16"/>
    </row>
    <row r="772">
      <c r="B772" s="16"/>
    </row>
    <row r="773">
      <c r="B773" s="16"/>
    </row>
    <row r="774">
      <c r="B774" s="16"/>
    </row>
    <row r="775">
      <c r="B775" s="16"/>
    </row>
    <row r="776">
      <c r="B776" s="16"/>
    </row>
    <row r="777">
      <c r="B777" s="16"/>
    </row>
    <row r="778">
      <c r="B778" s="16"/>
    </row>
    <row r="779">
      <c r="B779" s="16"/>
    </row>
    <row r="780">
      <c r="B780" s="16"/>
    </row>
    <row r="781">
      <c r="B781" s="16"/>
    </row>
    <row r="782">
      <c r="B782" s="16"/>
    </row>
    <row r="783">
      <c r="B783" s="16"/>
    </row>
    <row r="784">
      <c r="B784" s="16"/>
    </row>
    <row r="785">
      <c r="B785" s="16"/>
    </row>
    <row r="786">
      <c r="B786" s="16"/>
    </row>
    <row r="787">
      <c r="B787" s="16"/>
    </row>
    <row r="788">
      <c r="B788" s="16"/>
    </row>
    <row r="789">
      <c r="B789" s="16"/>
    </row>
    <row r="790">
      <c r="B790" s="16"/>
    </row>
    <row r="791">
      <c r="B791" s="16"/>
    </row>
    <row r="792">
      <c r="B792" s="16"/>
    </row>
    <row r="793">
      <c r="B793" s="16"/>
    </row>
    <row r="794">
      <c r="B794" s="16"/>
    </row>
    <row r="795">
      <c r="B795" s="16"/>
    </row>
    <row r="796">
      <c r="B796" s="16"/>
    </row>
    <row r="797">
      <c r="B797" s="16"/>
    </row>
    <row r="798">
      <c r="B798" s="16"/>
    </row>
    <row r="799">
      <c r="B799" s="16"/>
    </row>
    <row r="800">
      <c r="B800" s="16"/>
    </row>
    <row r="801">
      <c r="B801" s="16"/>
    </row>
    <row r="802">
      <c r="B802" s="16"/>
    </row>
    <row r="803">
      <c r="B803" s="16"/>
    </row>
    <row r="804">
      <c r="B804" s="16"/>
    </row>
    <row r="805">
      <c r="B805" s="16"/>
    </row>
    <row r="806">
      <c r="B806" s="16"/>
    </row>
    <row r="807">
      <c r="B807" s="16"/>
    </row>
    <row r="808">
      <c r="B808" s="16"/>
    </row>
    <row r="809">
      <c r="B809" s="16"/>
    </row>
    <row r="810">
      <c r="B810" s="16"/>
    </row>
    <row r="811">
      <c r="B811" s="16"/>
    </row>
    <row r="812">
      <c r="B812" s="16"/>
    </row>
    <row r="813">
      <c r="B813" s="16"/>
    </row>
    <row r="814">
      <c r="B814" s="16"/>
    </row>
    <row r="815">
      <c r="B815" s="16"/>
    </row>
    <row r="816">
      <c r="B816" s="16"/>
    </row>
    <row r="817">
      <c r="B817" s="16"/>
    </row>
    <row r="818">
      <c r="B818" s="16"/>
    </row>
    <row r="819">
      <c r="B819" s="16"/>
    </row>
    <row r="820">
      <c r="B820" s="16"/>
    </row>
    <row r="821">
      <c r="B821" s="16"/>
    </row>
    <row r="822">
      <c r="B822" s="16"/>
    </row>
    <row r="823">
      <c r="B823" s="16"/>
    </row>
    <row r="824">
      <c r="B824" s="16"/>
    </row>
    <row r="825">
      <c r="B825" s="16"/>
    </row>
    <row r="826">
      <c r="B826" s="16"/>
    </row>
    <row r="827">
      <c r="B827" s="16"/>
    </row>
    <row r="828">
      <c r="B828" s="16"/>
    </row>
    <row r="829">
      <c r="B829" s="16"/>
    </row>
    <row r="830">
      <c r="B830" s="16"/>
    </row>
    <row r="831">
      <c r="B831" s="16"/>
    </row>
    <row r="832">
      <c r="B832" s="16"/>
    </row>
    <row r="833">
      <c r="B833" s="16"/>
    </row>
    <row r="834">
      <c r="B834" s="16"/>
    </row>
    <row r="835">
      <c r="B835" s="16"/>
    </row>
    <row r="836">
      <c r="B836" s="16"/>
    </row>
    <row r="837">
      <c r="B837" s="16"/>
    </row>
    <row r="838">
      <c r="B838" s="16"/>
    </row>
    <row r="839">
      <c r="B839" s="16"/>
    </row>
    <row r="840">
      <c r="B840" s="16"/>
    </row>
    <row r="841">
      <c r="B841" s="16"/>
    </row>
    <row r="842">
      <c r="B842" s="16"/>
    </row>
    <row r="843">
      <c r="B843" s="16"/>
    </row>
    <row r="844">
      <c r="B844" s="16"/>
    </row>
    <row r="845">
      <c r="B845" s="16"/>
    </row>
    <row r="846">
      <c r="B846" s="16"/>
    </row>
    <row r="847">
      <c r="B847" s="16"/>
    </row>
    <row r="848">
      <c r="B848" s="16"/>
    </row>
    <row r="849">
      <c r="B849" s="16"/>
    </row>
    <row r="850">
      <c r="B850" s="16"/>
    </row>
    <row r="851">
      <c r="B851" s="16"/>
    </row>
    <row r="852">
      <c r="B852" s="16"/>
    </row>
    <row r="853">
      <c r="B853" s="16"/>
    </row>
    <row r="854">
      <c r="B854" s="16"/>
    </row>
    <row r="855">
      <c r="B855" s="16"/>
    </row>
    <row r="856">
      <c r="B856" s="16"/>
    </row>
    <row r="857">
      <c r="B857" s="16"/>
    </row>
    <row r="858">
      <c r="B858" s="16"/>
    </row>
    <row r="859">
      <c r="B859" s="16"/>
    </row>
    <row r="860">
      <c r="B860" s="16"/>
    </row>
    <row r="861">
      <c r="B861" s="16"/>
    </row>
    <row r="862">
      <c r="B862" s="16"/>
    </row>
    <row r="863">
      <c r="B863" s="16"/>
    </row>
    <row r="864">
      <c r="B864" s="16"/>
    </row>
    <row r="865">
      <c r="B865" s="16"/>
    </row>
    <row r="866">
      <c r="B866" s="16"/>
    </row>
    <row r="867">
      <c r="B867" s="16"/>
    </row>
    <row r="868">
      <c r="B868" s="16"/>
    </row>
    <row r="869">
      <c r="B869" s="16"/>
    </row>
    <row r="870">
      <c r="B870" s="16"/>
    </row>
    <row r="871">
      <c r="B871" s="16"/>
    </row>
    <row r="872">
      <c r="B872" s="16"/>
    </row>
    <row r="873">
      <c r="B873" s="16"/>
    </row>
    <row r="874">
      <c r="B874" s="16"/>
    </row>
    <row r="875">
      <c r="B875" s="16"/>
    </row>
    <row r="876">
      <c r="B876" s="16"/>
    </row>
    <row r="877">
      <c r="B877" s="16"/>
    </row>
    <row r="878">
      <c r="B878" s="16"/>
    </row>
    <row r="879">
      <c r="B879" s="16"/>
    </row>
    <row r="880">
      <c r="B880" s="16"/>
    </row>
    <row r="881">
      <c r="B881" s="16"/>
    </row>
    <row r="882">
      <c r="B882" s="16"/>
    </row>
    <row r="883">
      <c r="B883" s="16"/>
    </row>
    <row r="884">
      <c r="B884" s="16"/>
    </row>
    <row r="885">
      <c r="B885" s="16"/>
    </row>
    <row r="886">
      <c r="B886" s="16"/>
    </row>
    <row r="887">
      <c r="B887" s="16"/>
    </row>
    <row r="888">
      <c r="B888" s="16"/>
    </row>
    <row r="889">
      <c r="B889" s="16"/>
    </row>
    <row r="890">
      <c r="B890" s="16"/>
    </row>
    <row r="891">
      <c r="B891" s="16"/>
    </row>
    <row r="892">
      <c r="B892" s="16"/>
    </row>
    <row r="893">
      <c r="B893" s="16"/>
    </row>
    <row r="894">
      <c r="B894" s="16"/>
    </row>
    <row r="895">
      <c r="B895" s="16"/>
    </row>
    <row r="896">
      <c r="B896" s="16"/>
    </row>
    <row r="897">
      <c r="B897" s="16"/>
    </row>
    <row r="898">
      <c r="B898" s="16"/>
    </row>
    <row r="899">
      <c r="B899" s="16"/>
    </row>
    <row r="900">
      <c r="B900" s="16"/>
    </row>
    <row r="901">
      <c r="B901" s="16"/>
    </row>
    <row r="902">
      <c r="B902" s="16"/>
    </row>
    <row r="903">
      <c r="B903" s="16"/>
    </row>
    <row r="904">
      <c r="B904" s="16"/>
    </row>
    <row r="905">
      <c r="B905" s="16"/>
    </row>
    <row r="906">
      <c r="B906" s="16"/>
    </row>
    <row r="907">
      <c r="B907" s="16"/>
    </row>
    <row r="908">
      <c r="B908" s="16"/>
    </row>
    <row r="909">
      <c r="B909" s="16"/>
    </row>
    <row r="910">
      <c r="B910" s="16"/>
    </row>
    <row r="911">
      <c r="B911" s="16"/>
    </row>
    <row r="912">
      <c r="B912" s="16"/>
    </row>
    <row r="913">
      <c r="B913" s="16"/>
    </row>
    <row r="914">
      <c r="B914" s="16"/>
    </row>
    <row r="915">
      <c r="B915" s="16"/>
    </row>
    <row r="916">
      <c r="B916" s="16"/>
    </row>
    <row r="917">
      <c r="B917" s="16"/>
    </row>
    <row r="918">
      <c r="B918" s="16"/>
    </row>
    <row r="919">
      <c r="B919" s="16"/>
    </row>
    <row r="920">
      <c r="B920" s="16"/>
    </row>
    <row r="921">
      <c r="B921" s="16"/>
    </row>
    <row r="922">
      <c r="B922" s="16"/>
    </row>
    <row r="923">
      <c r="B923" s="16"/>
    </row>
    <row r="924">
      <c r="B924" s="16"/>
    </row>
    <row r="925">
      <c r="B925" s="16"/>
    </row>
    <row r="926">
      <c r="B926" s="16"/>
    </row>
    <row r="927">
      <c r="B927" s="16"/>
    </row>
    <row r="928">
      <c r="B928" s="16"/>
    </row>
    <row r="929">
      <c r="B929" s="16"/>
    </row>
    <row r="930">
      <c r="B930" s="16"/>
    </row>
    <row r="931">
      <c r="B931" s="16"/>
    </row>
    <row r="932">
      <c r="B932" s="16"/>
    </row>
    <row r="933">
      <c r="B933" s="16"/>
    </row>
    <row r="934">
      <c r="B934" s="16"/>
    </row>
    <row r="935">
      <c r="B935" s="16"/>
    </row>
    <row r="936">
      <c r="B936" s="16"/>
    </row>
    <row r="937">
      <c r="B937" s="16"/>
    </row>
    <row r="938">
      <c r="B938" s="16"/>
    </row>
    <row r="939">
      <c r="B939" s="16"/>
    </row>
    <row r="940">
      <c r="B940" s="16"/>
    </row>
    <row r="941">
      <c r="B941" s="16"/>
    </row>
    <row r="942">
      <c r="B942" s="16"/>
    </row>
    <row r="943">
      <c r="B943" s="16"/>
    </row>
    <row r="944">
      <c r="B944" s="16"/>
    </row>
    <row r="945">
      <c r="B945" s="16"/>
    </row>
    <row r="946">
      <c r="B946" s="16"/>
    </row>
    <row r="947">
      <c r="B947" s="16"/>
    </row>
    <row r="948">
      <c r="B948" s="16"/>
    </row>
    <row r="949">
      <c r="B949" s="16"/>
    </row>
    <row r="950">
      <c r="B950" s="16"/>
    </row>
    <row r="951">
      <c r="B951" s="16"/>
    </row>
    <row r="952">
      <c r="B952" s="16"/>
    </row>
    <row r="953">
      <c r="B953" s="16"/>
    </row>
    <row r="954">
      <c r="B954" s="16"/>
    </row>
    <row r="955">
      <c r="B955" s="16"/>
    </row>
    <row r="956">
      <c r="B956" s="16"/>
    </row>
    <row r="957">
      <c r="B957" s="16"/>
    </row>
    <row r="958">
      <c r="B958" s="16"/>
    </row>
    <row r="959">
      <c r="B959" s="16"/>
    </row>
    <row r="960">
      <c r="B960" s="16"/>
    </row>
    <row r="961">
      <c r="B961" s="16"/>
    </row>
    <row r="962">
      <c r="B962" s="16"/>
    </row>
    <row r="963">
      <c r="B963" s="16"/>
    </row>
    <row r="964">
      <c r="B964" s="16"/>
    </row>
    <row r="965">
      <c r="B965" s="16"/>
    </row>
    <row r="966">
      <c r="B966" s="16"/>
    </row>
    <row r="967">
      <c r="B967" s="16"/>
    </row>
    <row r="968">
      <c r="B968" s="16"/>
    </row>
    <row r="969">
      <c r="B969" s="16"/>
    </row>
    <row r="970">
      <c r="B970" s="16"/>
    </row>
    <row r="971">
      <c r="B971" s="16"/>
    </row>
    <row r="972">
      <c r="B972" s="16"/>
    </row>
    <row r="973">
      <c r="B973" s="16"/>
    </row>
    <row r="974">
      <c r="B974" s="16"/>
    </row>
    <row r="975">
      <c r="B975" s="16"/>
    </row>
    <row r="976">
      <c r="B976" s="16"/>
    </row>
    <row r="977">
      <c r="B977" s="16"/>
    </row>
    <row r="978">
      <c r="B978" s="16"/>
    </row>
    <row r="979">
      <c r="B979" s="16"/>
    </row>
    <row r="980">
      <c r="B980" s="16"/>
    </row>
    <row r="981">
      <c r="B981" s="16"/>
    </row>
    <row r="982">
      <c r="B982" s="16"/>
    </row>
    <row r="983">
      <c r="B983" s="16"/>
    </row>
    <row r="984">
      <c r="B984" s="16"/>
    </row>
    <row r="985">
      <c r="B985" s="16"/>
    </row>
    <row r="986">
      <c r="B986" s="16"/>
    </row>
    <row r="987">
      <c r="B987" s="16"/>
    </row>
    <row r="988">
      <c r="B988" s="16"/>
    </row>
    <row r="989">
      <c r="B989" s="16"/>
    </row>
    <row r="990">
      <c r="B990" s="16"/>
    </row>
    <row r="991">
      <c r="B991" s="16"/>
    </row>
    <row r="992">
      <c r="B992" s="16"/>
    </row>
    <row r="993">
      <c r="B993" s="16"/>
    </row>
    <row r="994">
      <c r="B994" s="16"/>
    </row>
    <row r="995">
      <c r="B995" s="16"/>
    </row>
    <row r="996">
      <c r="B996" s="16"/>
    </row>
    <row r="997">
      <c r="B997" s="16"/>
    </row>
    <row r="998">
      <c r="B998" s="16"/>
    </row>
    <row r="999">
      <c r="B999" s="16"/>
    </row>
    <row r="1000">
      <c r="B1000" s="16"/>
    </row>
  </sheetData>
  <dataValidations>
    <dataValidation type="list" allowBlank="1" showErrorMessage="1" sqref="B2:B1000">
      <formula1>"Ama Joshua,Bassey Esther,Elijah Effiong,Emmanuel Ita,Henry Jacob,Idara Nnah,Iniobong William,Precious Effiong,Sandy Rose,Tombere Regina,Ubong Anuak,Wisdom Ekpenyong"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14.0"/>
    <col customWidth="1" min="3" max="3" width="19.13"/>
    <col customWidth="1" min="5" max="5" width="27.0"/>
    <col customWidth="1" min="6" max="6" width="19.0"/>
    <col customWidth="1" min="7" max="7" width="16.88"/>
    <col customWidth="1" min="8" max="8" width="23.25"/>
    <col customWidth="1" min="9" max="9" width="24.13"/>
  </cols>
  <sheetData>
    <row r="1">
      <c r="A1" s="22" t="s">
        <v>316</v>
      </c>
      <c r="B1" s="22" t="s">
        <v>317</v>
      </c>
    </row>
    <row r="2">
      <c r="A2" s="24" t="s">
        <v>318</v>
      </c>
      <c r="B2" s="16">
        <f>COUNTA(FTA_Responses!O:O)-1</f>
        <v>38</v>
      </c>
      <c r="E2" s="25"/>
      <c r="F2" s="26"/>
      <c r="G2" s="25"/>
      <c r="H2" s="25"/>
    </row>
    <row r="3">
      <c r="A3" s="24" t="s">
        <v>319</v>
      </c>
      <c r="B3" s="16">
        <f>COUNTIFS(FTA_Responses!A:A,"&gt;="&amp;EOMONTH(TODAY(),-1)+1, FTA_Responses!A:A,"&lt;="&amp;EOMONTH(TODAY(),0))</f>
        <v>0</v>
      </c>
    </row>
    <row r="4">
      <c r="A4" s="24" t="s">
        <v>320</v>
      </c>
      <c r="B4" s="16">
        <f>COUNTIFS(FTA_Responses!A:A,"&gt;="&amp;TODAY()-WEEKDAY(TODAY(),2)+1, FTA_Responses!A:A,"&lt;="&amp;TODAY()-WEEKDAY(TODAY(),2)+7)</f>
        <v>0</v>
      </c>
    </row>
    <row r="5">
      <c r="A5" s="24" t="s">
        <v>321</v>
      </c>
      <c r="B5" s="16">
        <f t="array" ref="B5">COUNTIF(INT(FTA_Responses!A2:A1000), TODAY())</f>
        <v>0</v>
      </c>
    </row>
    <row r="6">
      <c r="A6" s="24" t="s">
        <v>322</v>
      </c>
      <c r="B6" s="25">
        <f>AVERAGE(FTA_Responses!G:G)</f>
        <v>4.236842105</v>
      </c>
    </row>
    <row r="7">
      <c r="A7" s="24" t="s">
        <v>323</v>
      </c>
      <c r="B7" s="25">
        <f>AVERAGE(FTA_Responses!H:H)</f>
        <v>4.105263158</v>
      </c>
    </row>
    <row r="8">
      <c r="A8" s="24" t="s">
        <v>324</v>
      </c>
      <c r="B8" s="25">
        <f>AVERAGE(FTA_Responses!I:I)</f>
        <v>4.131578947</v>
      </c>
    </row>
    <row r="9">
      <c r="A9" s="24" t="s">
        <v>325</v>
      </c>
      <c r="B9" s="25">
        <f>COUNTIF(FTA_Responses!L:L,"Yes") / (COUNTA(FTA_Responses!O:O)-1)*100</f>
        <v>31.57894737</v>
      </c>
    </row>
    <row r="10">
      <c r="A10" s="24" t="s">
        <v>326</v>
      </c>
      <c r="B10" s="25">
        <f>COUNTIF(Assignment_Log!H:H,"Assigned")/COUNTA(FTA_Responses!O:O)*100</f>
        <v>92.30769231</v>
      </c>
    </row>
    <row r="20">
      <c r="A20" s="27" t="s">
        <v>327</v>
      </c>
    </row>
    <row r="21">
      <c r="A21" s="22" t="s">
        <v>328</v>
      </c>
      <c r="B21" s="22" t="s">
        <v>329</v>
      </c>
      <c r="C21" s="22" t="s">
        <v>330</v>
      </c>
    </row>
    <row r="22">
      <c r="A22" s="24" t="s">
        <v>23</v>
      </c>
      <c r="B22" s="16">
        <f>COUNTIF(FTA_Responses!K:K,"A friend")</f>
        <v>24</v>
      </c>
      <c r="C22" s="25">
        <f>B22 / COUNTA(FTA_Responses!O:O)</f>
        <v>0.6153846154</v>
      </c>
    </row>
    <row r="23">
      <c r="A23" s="24" t="s">
        <v>68</v>
      </c>
      <c r="B23" s="16">
        <f>COUNTIF(FTA_Responses!K:K,"A worker in the church")</f>
        <v>4</v>
      </c>
      <c r="C23" s="25">
        <f>B23 / COUNTA(FTA_Responses!O:O)</f>
        <v>0.1025641026</v>
      </c>
    </row>
    <row r="24">
      <c r="A24" s="24" t="s">
        <v>73</v>
      </c>
      <c r="B24" s="16">
        <f>COUNTIF(FTA_Responses!K:K,"Church member")</f>
        <v>3</v>
      </c>
      <c r="C24" s="25">
        <f>B24 / COUNTA(FTA_Responses!O:O)</f>
        <v>0.07692307692</v>
      </c>
    </row>
    <row r="25">
      <c r="A25" s="24" t="s">
        <v>331</v>
      </c>
      <c r="B25" s="16">
        <f>COUNTIF(FTA_Responses!K:K,"Colleague")</f>
        <v>3</v>
      </c>
      <c r="C25" s="25">
        <f>B25 / COUNTA(FTA_Responses!O:O)</f>
        <v>0.07692307692</v>
      </c>
    </row>
    <row r="26">
      <c r="A26" s="24" t="s">
        <v>332</v>
      </c>
      <c r="B26" s="16">
        <f>COUNTIF(FTA_Responses!K:K,"Spouse")</f>
        <v>1</v>
      </c>
      <c r="C26" s="25">
        <f>B26 / COUNTA(FTA_Responses!O:O)</f>
        <v>0.02564102564</v>
      </c>
    </row>
    <row r="27">
      <c r="A27" s="24" t="s">
        <v>333</v>
      </c>
      <c r="B27" s="16">
        <f>COUNTIF(FTA_Responses!K:K,"Self(Social Media)")</f>
        <v>1</v>
      </c>
      <c r="C27" s="25">
        <f>B27 / COUNTA(FTA_Responses!O:O)</f>
        <v>0.02564102564</v>
      </c>
    </row>
    <row r="28">
      <c r="A28" s="24" t="s">
        <v>334</v>
      </c>
      <c r="B28" s="16">
        <f>COUNTIF(FTA_Responses!K:K,"Self(Billboard)")</f>
        <v>1</v>
      </c>
      <c r="C28" s="25">
        <f>B28 / COUNTA(FTA_Responses!O:O)</f>
        <v>0.02564102564</v>
      </c>
    </row>
    <row r="29">
      <c r="A29" s="24" t="s">
        <v>335</v>
      </c>
      <c r="B29" s="16">
        <f>COUNTIF(FTA_Responses!K:K,"Home cell")</f>
        <v>0</v>
      </c>
      <c r="C29" s="25">
        <f>B29 / COUNTA(FTA_Responses!O:O)</f>
        <v>0</v>
      </c>
    </row>
    <row r="30">
      <c r="A30" s="24" t="s">
        <v>336</v>
      </c>
      <c r="B30" s="16">
        <f>COUNTIF(FTA_Responses!K:K,"Other")</f>
        <v>1</v>
      </c>
      <c r="C30" s="25">
        <f>B30 / COUNTA(FTA_Responses!O:O)</f>
        <v>0.02564102564</v>
      </c>
    </row>
    <row r="33">
      <c r="A33" s="28" t="s">
        <v>337</v>
      </c>
    </row>
    <row r="34">
      <c r="A34" s="22" t="s">
        <v>338</v>
      </c>
      <c r="B34" s="22" t="s">
        <v>339</v>
      </c>
      <c r="C34" s="22" t="s">
        <v>340</v>
      </c>
    </row>
    <row r="35">
      <c r="A35" s="24" t="s">
        <v>225</v>
      </c>
      <c r="B35" s="16">
        <f>COUNTIF(Assignment_Log!F:F, A35)</f>
        <v>3</v>
      </c>
      <c r="C35" s="16">
        <f>AVERAGEIF(Assignment_Log!F:F, A35, FTA_Responses!G:G)</f>
        <v>3.333333333</v>
      </c>
    </row>
    <row r="36">
      <c r="A36" s="24" t="s">
        <v>220</v>
      </c>
      <c r="B36" s="16">
        <f>COUNTIF(Assignment_Log!F:F, A36)</f>
        <v>3</v>
      </c>
      <c r="C36" s="16">
        <f>AVERAGEIF(Assignment_Log!F:F, A36, FTA_Responses!G:G)</f>
        <v>4</v>
      </c>
    </row>
    <row r="37">
      <c r="A37" s="24" t="s">
        <v>287</v>
      </c>
      <c r="B37" s="16">
        <f>COUNTIF(Assignment_Log!F:F, A37)</f>
        <v>2</v>
      </c>
      <c r="C37" s="16">
        <f>AVERAGEIF(Assignment_Log!F:F, A37, FTA_Responses!G:G)</f>
        <v>4.5</v>
      </c>
    </row>
    <row r="38">
      <c r="A38" s="24" t="s">
        <v>230</v>
      </c>
      <c r="B38" s="16">
        <f>COUNTIF(Assignment_Log!F:F, A38)</f>
        <v>3</v>
      </c>
      <c r="C38" s="16">
        <f>AVERAGEIF(Assignment_Log!F:F, A38, FTA_Responses!G:G)</f>
        <v>4.333333333</v>
      </c>
    </row>
    <row r="39">
      <c r="A39" s="24" t="s">
        <v>234</v>
      </c>
      <c r="B39" s="16">
        <f>COUNTIF(Assignment_Log!F:F, A39)</f>
        <v>3</v>
      </c>
      <c r="C39" s="16">
        <f>AVERAGEIF(Assignment_Log!F:F, A39, FTA_Responses!G:G)</f>
        <v>4.333333333</v>
      </c>
    </row>
    <row r="40">
      <c r="A40" s="24" t="s">
        <v>215</v>
      </c>
      <c r="B40" s="16">
        <f>COUNTIF(Assignment_Log!F:F, A40)</f>
        <v>3</v>
      </c>
      <c r="C40" s="16">
        <f>AVERAGEIF(Assignment_Log!F:F, A40, FTA_Responses!G:G)</f>
        <v>5</v>
      </c>
    </row>
    <row r="41">
      <c r="A41" s="24" t="s">
        <v>237</v>
      </c>
      <c r="B41" s="16">
        <f>COUNTIF(Assignment_Log!F:F, A41)</f>
        <v>3</v>
      </c>
      <c r="C41" s="16">
        <f>AVERAGEIF(Assignment_Log!F:F, A41, FTA_Responses!G:G)</f>
        <v>4.666666667</v>
      </c>
    </row>
    <row r="42">
      <c r="A42" s="24" t="s">
        <v>241</v>
      </c>
      <c r="B42" s="16">
        <f>COUNTIF(Assignment_Log!F:F, A42)</f>
        <v>3</v>
      </c>
      <c r="C42" s="16">
        <f>AVERAGEIF(Assignment_Log!F:F, A42, FTA_Responses!G:G)</f>
        <v>4</v>
      </c>
    </row>
    <row r="43">
      <c r="A43" s="24" t="s">
        <v>269</v>
      </c>
      <c r="B43" s="16">
        <f>COUNTIF(Assignment_Log!F:F, A43)</f>
        <v>4</v>
      </c>
      <c r="C43" s="16">
        <f>AVERAGEIF(Assignment_Log!F:F, A43, FTA_Responses!G:G)</f>
        <v>3.75</v>
      </c>
    </row>
    <row r="44">
      <c r="A44" s="24" t="s">
        <v>273</v>
      </c>
      <c r="B44" s="16">
        <f>COUNTIF(Assignment_Log!F:F, A44)</f>
        <v>3</v>
      </c>
      <c r="C44" s="16">
        <f>AVERAGEIF(Assignment_Log!F:F, A44, FTA_Responses!G:G)</f>
        <v>3.333333333</v>
      </c>
    </row>
    <row r="50">
      <c r="A50" s="28" t="s">
        <v>341</v>
      </c>
    </row>
    <row r="51">
      <c r="A51" s="22" t="s">
        <v>342</v>
      </c>
      <c r="B51" s="22" t="s">
        <v>343</v>
      </c>
    </row>
    <row r="52">
      <c r="A52" s="29">
        <v>46023.0</v>
      </c>
      <c r="B52" s="16">
        <f>COUNTIFS(
  FTA_Responses!$A:$A, "&gt;=" &amp; DATE(YEAR($A52), MONTH($A52), 1),
  FTA_Responses!$A:$A, "&lt;"  &amp; EOMONTH(DATE(YEAR($A52), MONTH($A52), 1), 0) + 1
)
</f>
        <v>25</v>
      </c>
    </row>
    <row r="53">
      <c r="A53" s="29">
        <f t="shared" ref="A53:A63" si="1">EDATE(A52,1)
</f>
        <v>46054</v>
      </c>
      <c r="B53" s="16">
        <f>COUNTIFS(
  FTA_Responses!$A:$A, "&gt;=" &amp; DATE(YEAR($A53), MONTH($A53), 1),
  FTA_Responses!$A:$A, "&lt;"  &amp; EOMONTH(DATE(YEAR($A53), MONTH($A53), 1), 0) + 1
)
</f>
        <v>13</v>
      </c>
    </row>
    <row r="54">
      <c r="A54" s="29">
        <f t="shared" si="1"/>
        <v>46082</v>
      </c>
      <c r="B54" s="16">
        <f>COUNTIFS(
  FTA_Responses!$A:$A, "&gt;=" &amp; DATE(YEAR($A54), MONTH($A54), 1),
  FTA_Responses!$A:$A, "&lt;"  &amp; EOMONTH(DATE(YEAR($A54), MONTH($A54), 1), 0) + 1
)
</f>
        <v>0</v>
      </c>
    </row>
    <row r="55">
      <c r="A55" s="29">
        <f t="shared" si="1"/>
        <v>46113</v>
      </c>
      <c r="B55" s="16">
        <f>COUNTIFS(
  FTA_Responses!$A:$A, "&gt;=" &amp; DATE(YEAR($A55), MONTH($A55), 1),
  FTA_Responses!$A:$A, "&lt;"  &amp; EOMONTH(DATE(YEAR($A55), MONTH($A55), 1), 0) + 1
)
</f>
        <v>0</v>
      </c>
    </row>
    <row r="56">
      <c r="A56" s="29">
        <f t="shared" si="1"/>
        <v>46143</v>
      </c>
      <c r="B56" s="16">
        <f>COUNTIFS(
  FTA_Responses!$A:$A, "&gt;=" &amp; DATE(YEAR($A56), MONTH($A56), 1),
  FTA_Responses!$A:$A, "&lt;"  &amp; EOMONTH(DATE(YEAR($A56), MONTH($A56), 1), 0) + 1
)
</f>
        <v>0</v>
      </c>
    </row>
    <row r="57">
      <c r="A57" s="29">
        <f t="shared" si="1"/>
        <v>46174</v>
      </c>
      <c r="B57" s="16">
        <f>COUNTIFS(
  FTA_Responses!$A:$A, "&gt;=" &amp; DATE(YEAR($A57), MONTH($A57), 1),
  FTA_Responses!$A:$A, "&lt;"  &amp; EOMONTH(DATE(YEAR($A57), MONTH($A57), 1), 0) + 1
)
</f>
        <v>0</v>
      </c>
    </row>
    <row r="58">
      <c r="A58" s="29">
        <f t="shared" si="1"/>
        <v>46204</v>
      </c>
      <c r="B58" s="16">
        <f>COUNTIFS(
  FTA_Responses!$A:$A, "&gt;=" &amp; DATE(YEAR($A58), MONTH($A58), 1),
  FTA_Responses!$A:$A, "&lt;"  &amp; EOMONTH(DATE(YEAR($A58), MONTH($A58), 1), 0) + 1
)
</f>
        <v>0</v>
      </c>
    </row>
    <row r="59">
      <c r="A59" s="29">
        <f t="shared" si="1"/>
        <v>46235</v>
      </c>
      <c r="B59" s="16">
        <f>COUNTIFS(
  FTA_Responses!$A:$A, "&gt;=" &amp; DATE(YEAR($A59), MONTH($A59), 1),
  FTA_Responses!$A:$A, "&lt;"  &amp; EOMONTH(DATE(YEAR($A59), MONTH($A59), 1), 0) + 1
)
</f>
        <v>0</v>
      </c>
    </row>
    <row r="60">
      <c r="A60" s="29">
        <f t="shared" si="1"/>
        <v>46266</v>
      </c>
      <c r="B60" s="16">
        <f>COUNTIFS(
  FTA_Responses!$A:$A, "&gt;=" &amp; DATE(YEAR($A60), MONTH($A60), 1),
  FTA_Responses!$A:$A, "&lt;"  &amp; EOMONTH(DATE(YEAR($A60), MONTH($A60), 1), 0) + 1
)
</f>
        <v>0</v>
      </c>
    </row>
    <row r="61">
      <c r="A61" s="29">
        <f t="shared" si="1"/>
        <v>46296</v>
      </c>
      <c r="B61" s="16">
        <f>COUNTIFS(
  FTA_Responses!$A:$A, "&gt;=" &amp; DATE(YEAR($A61), MONTH($A61), 1),
  FTA_Responses!$A:$A, "&lt;"  &amp; EOMONTH(DATE(YEAR($A61), MONTH($A61), 1), 0) + 1
)
</f>
        <v>0</v>
      </c>
    </row>
    <row r="62">
      <c r="A62" s="29">
        <f t="shared" si="1"/>
        <v>46327</v>
      </c>
      <c r="B62" s="16">
        <f>COUNTIFS(
  FTA_Responses!$A:$A, "&gt;=" &amp; DATE(YEAR($A62), MONTH($A62), 1),
  FTA_Responses!$A:$A, "&lt;"  &amp; EOMONTH(DATE(YEAR($A62), MONTH($A62), 1), 0) + 1
)
</f>
        <v>0</v>
      </c>
    </row>
    <row r="63">
      <c r="A63" s="29">
        <f t="shared" si="1"/>
        <v>46357</v>
      </c>
      <c r="B63" s="16">
        <f>COUNTIFS(
  FTA_Responses!$A:$A, "&gt;=" &amp; DATE(YEAR($A63), MONTH($A63), 1),
  FTA_Responses!$A:$A, "&lt;"  &amp; EOMONTH(DATE(YEAR($A63), MONTH($A63), 1), 0) + 1
)
</f>
        <v>0</v>
      </c>
    </row>
    <row r="64">
      <c r="A64" s="30"/>
    </row>
    <row r="65">
      <c r="A65" s="31"/>
    </row>
    <row r="77">
      <c r="A77" s="28" t="s">
        <v>344</v>
      </c>
    </row>
    <row r="78">
      <c r="A78" s="22" t="s">
        <v>345</v>
      </c>
      <c r="B78" s="22" t="s">
        <v>329</v>
      </c>
    </row>
    <row r="79">
      <c r="A79" s="24" t="s">
        <v>346</v>
      </c>
      <c r="B79" s="16">
        <f>COUNTIFS(
  Feedback_Responses!D:D, "1st call*",
  Feedback_Responses!F:F, "Closed"
)
</f>
        <v>0</v>
      </c>
    </row>
    <row r="80">
      <c r="A80" s="24" t="s">
        <v>238</v>
      </c>
      <c r="B80" s="16">
        <f>COUNTIFS(
  Feedback_Responses!D:D, "1st call*",
  Feedback_Responses!F:F, "Just visiting"
)
</f>
        <v>1</v>
      </c>
    </row>
    <row r="81">
      <c r="A81" s="24" t="s">
        <v>217</v>
      </c>
      <c r="B81" s="16">
        <f>COUNTIFS(
  Feedback_Responses!D:D, "1st call*",
  Feedback_Responses!F:F, "Out of town"
)
</f>
        <v>1</v>
      </c>
    </row>
    <row r="82">
      <c r="A82" s="24" t="s">
        <v>347</v>
      </c>
      <c r="B82" s="16">
        <f>COUNTIFS(
  Feedback_Responses!D:D, "1st call*",
  Feedback_Responses!F:F, "Prayer request"
)
</f>
        <v>1</v>
      </c>
    </row>
    <row r="83">
      <c r="A83" s="24" t="s">
        <v>348</v>
      </c>
      <c r="B83" s="16">
        <f>COUNTIFS(
  Feedback_Responses!D:D, "1st call*",
  Feedback_Responses!F:F, "Transport needed"
)
</f>
        <v>0</v>
      </c>
    </row>
    <row r="84">
      <c r="A84" s="24" t="s">
        <v>226</v>
      </c>
      <c r="B84" s="16">
        <f>COUNTIFS(
  Feedback_Responses!D:D, "1st call*",
  Feedback_Responses!F:F, "Would love to join"
)
</f>
        <v>2</v>
      </c>
    </row>
    <row r="85">
      <c r="A85" s="24" t="s">
        <v>231</v>
      </c>
      <c r="B85" s="16">
        <f>COUNTIFS(
  Feedback_Responses!D:D, "1st call*",
  Feedback_Responses!F:F, "Hope to visit again"
)
</f>
        <v>2</v>
      </c>
    </row>
    <row r="86">
      <c r="A86" s="24" t="s">
        <v>349</v>
      </c>
      <c r="B86" s="16">
        <f>COUNTIFS(
  Feedback_Responses!D:D, "1st call*",
  Feedback_Responses!F:F, "Other"
)
</f>
        <v>0</v>
      </c>
    </row>
  </sheetData>
  <mergeCells count="4">
    <mergeCell ref="A20:G20"/>
    <mergeCell ref="A33:G33"/>
    <mergeCell ref="A50:G50"/>
    <mergeCell ref="A77:G77"/>
  </mergeCells>
  <conditionalFormatting sqref="A20:G20">
    <cfRule type="notContainsBlanks" dxfId="7" priority="1">
      <formula>LEN(TRIM(A20))&gt;0</formula>
    </cfRule>
  </conditionalFormatting>
  <conditionalFormatting sqref="A33:G33">
    <cfRule type="notContainsBlanks" dxfId="7" priority="2">
      <formula>LEN(TRIM(A33))&gt;0</formula>
    </cfRule>
  </conditionalFormatting>
  <conditionalFormatting sqref="A50:G50">
    <cfRule type="notContainsBlanks" dxfId="7" priority="3">
      <formula>LEN(TRIM(A50))&gt;0</formula>
    </cfRule>
  </conditionalFormatting>
  <conditionalFormatting sqref="A77:G77">
    <cfRule type="notContainsBlanks" dxfId="8" priority="4">
      <formula>LEN(TRIM(A77))&gt;0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327</v>
      </c>
    </row>
    <row r="2">
      <c r="A2" s="33" t="s">
        <v>328</v>
      </c>
      <c r="B2" s="33" t="s">
        <v>329</v>
      </c>
      <c r="C2" s="33" t="s">
        <v>330</v>
      </c>
      <c r="D2" s="34"/>
      <c r="E2" s="34"/>
      <c r="F2" s="34"/>
      <c r="G2" s="34"/>
    </row>
    <row r="3">
      <c r="A3" s="34" t="s">
        <v>23</v>
      </c>
      <c r="B3" s="35">
        <f>COUNTIF(FTA_Responses!K:K,"A friend")</f>
        <v>24</v>
      </c>
      <c r="C3" s="36">
        <f>B3 / COUNTA(FTA_Responses!O:O)</f>
        <v>0.6153846154</v>
      </c>
      <c r="D3" s="34"/>
      <c r="E3" s="34"/>
      <c r="F3" s="34"/>
      <c r="G3" s="34"/>
    </row>
    <row r="4">
      <c r="A4" s="34" t="s">
        <v>68</v>
      </c>
      <c r="B4" s="35">
        <f>COUNTIF(FTA_Responses!K:K,"A worker in the church")</f>
        <v>4</v>
      </c>
      <c r="C4" s="36">
        <f>B4 / COUNTA(FTA_Responses!O:O)</f>
        <v>0.1025641026</v>
      </c>
      <c r="D4" s="34"/>
      <c r="E4" s="34"/>
      <c r="F4" s="34"/>
      <c r="G4" s="34"/>
    </row>
    <row r="5">
      <c r="A5" s="34" t="s">
        <v>73</v>
      </c>
      <c r="B5" s="35">
        <f>COUNTIF(FTA_Responses!K:K,"Church member")</f>
        <v>3</v>
      </c>
      <c r="C5" s="36">
        <f>B5 / COUNTA(FTA_Responses!O:O)</f>
        <v>0.07692307692</v>
      </c>
      <c r="D5" s="34"/>
      <c r="E5" s="34"/>
      <c r="F5" s="34"/>
      <c r="G5" s="34"/>
    </row>
    <row r="6">
      <c r="A6" s="34" t="s">
        <v>331</v>
      </c>
      <c r="B6" s="35">
        <f>COUNTIF(FTA_Responses!K:K,"Colleague")</f>
        <v>3</v>
      </c>
      <c r="C6" s="36">
        <f>B6 / COUNTA(FTA_Responses!O:O)</f>
        <v>0.07692307692</v>
      </c>
      <c r="D6" s="34"/>
      <c r="E6" s="34"/>
      <c r="F6" s="34"/>
      <c r="G6" s="34"/>
    </row>
    <row r="7">
      <c r="A7" s="34" t="s">
        <v>332</v>
      </c>
      <c r="B7" s="35">
        <f>COUNTIF(FTA_Responses!K:K,"Spouse")</f>
        <v>1</v>
      </c>
      <c r="C7" s="36">
        <f>B7 / COUNTA(FTA_Responses!O:O)</f>
        <v>0.02564102564</v>
      </c>
      <c r="D7" s="34"/>
      <c r="E7" s="34"/>
      <c r="F7" s="34"/>
      <c r="G7" s="34"/>
    </row>
    <row r="8">
      <c r="A8" s="34" t="s">
        <v>333</v>
      </c>
      <c r="B8" s="35">
        <f>COUNTIF(FTA_Responses!K:K,"Self(Social Media)")</f>
        <v>1</v>
      </c>
      <c r="C8" s="36">
        <f>B8 / COUNTA(FTA_Responses!O:O)</f>
        <v>0.02564102564</v>
      </c>
      <c r="D8" s="34"/>
      <c r="E8" s="34"/>
      <c r="F8" s="34"/>
      <c r="G8" s="34"/>
    </row>
    <row r="9">
      <c r="A9" s="34" t="s">
        <v>334</v>
      </c>
      <c r="B9" s="35">
        <f>COUNTIF(FTA_Responses!K:K,"Self(Billboard)")</f>
        <v>1</v>
      </c>
      <c r="C9" s="36">
        <f>B9 / COUNTA(FTA_Responses!O:O)</f>
        <v>0.02564102564</v>
      </c>
      <c r="D9" s="34"/>
      <c r="E9" s="34"/>
      <c r="F9" s="34"/>
      <c r="G9" s="34"/>
    </row>
    <row r="10">
      <c r="A10" s="34" t="s">
        <v>335</v>
      </c>
      <c r="B10" s="35">
        <f>COUNTIF(FTA_Responses!K:K,"Home cell")</f>
        <v>0</v>
      </c>
      <c r="C10" s="36">
        <f>B10 / COUNTA(FTA_Responses!O:O)</f>
        <v>0</v>
      </c>
      <c r="D10" s="34"/>
      <c r="E10" s="34"/>
      <c r="F10" s="34"/>
      <c r="G10" s="34"/>
    </row>
    <row r="11">
      <c r="A11" s="34" t="s">
        <v>336</v>
      </c>
      <c r="B11" s="35">
        <f>COUNTIF(FTA_Responses!K:K,"Other")</f>
        <v>1</v>
      </c>
      <c r="C11" s="36">
        <f>B11 / COUNTA(FTA_Responses!O:O)</f>
        <v>0.02564102564</v>
      </c>
      <c r="D11" s="34"/>
      <c r="E11" s="34"/>
      <c r="F11" s="34"/>
      <c r="G11" s="34"/>
    </row>
  </sheetData>
  <mergeCells count="1">
    <mergeCell ref="A1:G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4.0"/>
    <col customWidth="1" min="5" max="5" width="27.0"/>
    <col customWidth="1" min="6" max="6" width="19.5"/>
    <col customWidth="1" min="7" max="7" width="17.38"/>
    <col customWidth="1" min="8" max="8" width="23.25"/>
    <col customWidth="1" min="9" max="9" width="24.13"/>
  </cols>
  <sheetData>
    <row r="1">
      <c r="A1" s="24" t="s">
        <v>318</v>
      </c>
      <c r="B1" s="24" t="s">
        <v>319</v>
      </c>
      <c r="C1" s="24" t="s">
        <v>320</v>
      </c>
      <c r="D1" s="24" t="s">
        <v>321</v>
      </c>
      <c r="E1" s="24" t="s">
        <v>322</v>
      </c>
      <c r="F1" s="24" t="s">
        <v>323</v>
      </c>
      <c r="G1" s="24" t="s">
        <v>324</v>
      </c>
      <c r="H1" s="24" t="s">
        <v>325</v>
      </c>
      <c r="I1" s="24" t="s">
        <v>326</v>
      </c>
    </row>
    <row r="2">
      <c r="A2" s="24">
        <v>38.0</v>
      </c>
      <c r="B2" s="24">
        <v>13.0</v>
      </c>
      <c r="C2" s="24">
        <v>0.0</v>
      </c>
      <c r="D2" s="24">
        <v>0.0</v>
      </c>
      <c r="E2" s="24">
        <v>4.24</v>
      </c>
      <c r="F2" s="24">
        <v>4.11</v>
      </c>
      <c r="G2" s="24">
        <v>4.13</v>
      </c>
      <c r="H2" s="24">
        <v>31.58</v>
      </c>
      <c r="I2" s="24">
        <v>92.31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6.5"/>
  </cols>
  <sheetData>
    <row r="1">
      <c r="A1" s="22" t="s">
        <v>316</v>
      </c>
      <c r="B1" s="22" t="s">
        <v>350</v>
      </c>
    </row>
    <row r="2">
      <c r="A2" s="24" t="s">
        <v>351</v>
      </c>
      <c r="B2" s="16">
        <f>COUNTA(FTA_Responses!A:A)-1</f>
        <v>38</v>
      </c>
    </row>
    <row r="3">
      <c r="A3" s="24" t="s">
        <v>352</v>
      </c>
      <c r="B3" s="16">
        <f>COUNTIFS(
FTA_Responses!A2:A1000,"&lt;&gt;",
FTA_Responses!O2:O1000,""
)
</f>
        <v>0</v>
      </c>
    </row>
    <row r="4">
      <c r="A4" s="24" t="s">
        <v>353</v>
      </c>
      <c r="B4" s="16">
        <f>COUNTIFS(
FTA_Responses!O2:O1000,"&lt;&gt;",
FTA_Responses!A2:A1000,""
)
</f>
        <v>0</v>
      </c>
    </row>
    <row r="5">
      <c r="A5" s="24" t="s">
        <v>354</v>
      </c>
      <c r="B5" s="16">
        <f>COUNTIFS(
Assignment_Log!A2:A1000,"&lt;&gt;",
Assignment_Log!F2:F1000,""
)
</f>
        <v>0</v>
      </c>
    </row>
    <row r="6">
      <c r="A6" s="24" t="s">
        <v>355</v>
      </c>
      <c r="B6" s="16">
        <f>COUNTIFS(
Assignment_Log!A2:A1000,"&lt;&gt;",
Assignment_Log!H2:H1000,""
)
</f>
        <v>0</v>
      </c>
    </row>
    <row r="7">
      <c r="A7" s="24" t="s">
        <v>356</v>
      </c>
      <c r="B7" s="16">
        <f>COUNTIFS(
Feedback_Responses!A2:A1000,"&lt;&gt;",
Feedback_Responses!B2:B1000,""
)
</f>
        <v>0</v>
      </c>
    </row>
  </sheetData>
  <drawing r:id="rId1"/>
</worksheet>
</file>